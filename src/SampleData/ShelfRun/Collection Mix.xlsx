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65915\Desktop\SDS\NLB update\NLB new\Latest Folder\"/>
    </mc:Choice>
  </mc:AlternateContent>
  <xr:revisionPtr revIDLastSave="0" documentId="13_ncr:1_{69C3F7BE-000B-475C-9A30-1135DA7337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3" i="1" l="1"/>
  <c r="C33" i="1"/>
  <c r="D32" i="1"/>
  <c r="C32" i="1"/>
  <c r="D31" i="1"/>
  <c r="C31" i="1"/>
  <c r="D42" i="1"/>
  <c r="C42" i="1"/>
  <c r="D54" i="1" l="1"/>
  <c r="C54" i="1"/>
  <c r="D44" i="1"/>
  <c r="C44" i="1"/>
  <c r="C40" i="1"/>
  <c r="D43" i="1"/>
  <c r="C43" i="1"/>
  <c r="C39" i="1"/>
  <c r="D38" i="1"/>
  <c r="C38" i="1"/>
  <c r="D41" i="1"/>
  <c r="C41" i="1"/>
  <c r="D37" i="1"/>
  <c r="C37" i="1"/>
</calcChain>
</file>

<file path=xl/sharedStrings.xml><?xml version="1.0" encoding="utf-8"?>
<sst xmlns="http://schemas.openxmlformats.org/spreadsheetml/2006/main" count="168" uniqueCount="56">
  <si>
    <t>Category</t>
  </si>
  <si>
    <t>Sub category</t>
  </si>
  <si>
    <t>Target end state collection</t>
  </si>
  <si>
    <t>Retained</t>
  </si>
  <si>
    <t>Adult's Fiction</t>
  </si>
  <si>
    <t>Young People's Fiction</t>
  </si>
  <si>
    <t>Adult's Non-Fiction</t>
  </si>
  <si>
    <t>English</t>
  </si>
  <si>
    <t>Chinese</t>
  </si>
  <si>
    <t>Malay</t>
  </si>
  <si>
    <t>Tamil</t>
  </si>
  <si>
    <t>English (000)</t>
  </si>
  <si>
    <t>English (100)</t>
  </si>
  <si>
    <t>English (200)</t>
  </si>
  <si>
    <t>English (300)</t>
  </si>
  <si>
    <t>English (400)</t>
  </si>
  <si>
    <t>English (500)</t>
  </si>
  <si>
    <t>English (600)</t>
  </si>
  <si>
    <t>English (700)</t>
  </si>
  <si>
    <t>English (800)</t>
  </si>
  <si>
    <t>English (900)</t>
  </si>
  <si>
    <t>English (ART)</t>
  </si>
  <si>
    <t>English (BIZ)</t>
  </si>
  <si>
    <t>English (COM)</t>
  </si>
  <si>
    <t>English (COO)</t>
  </si>
  <si>
    <t>English (FAM)</t>
  </si>
  <si>
    <t>English (HEA)</t>
  </si>
  <si>
    <t>English (REC)</t>
  </si>
  <si>
    <t>English (TRA)</t>
  </si>
  <si>
    <t>English (CMX)</t>
  </si>
  <si>
    <t>English (000 to 900)</t>
  </si>
  <si>
    <t>Chinese (000 to 900)</t>
  </si>
  <si>
    <t>Malay (000 to 900)</t>
  </si>
  <si>
    <t>Tamil (000 to 900)</t>
  </si>
  <si>
    <t>MTL</t>
  </si>
  <si>
    <t xml:space="preserve">Chinese </t>
  </si>
  <si>
    <t>English (Folktales)</t>
  </si>
  <si>
    <t>Chinese (Folktales)</t>
  </si>
  <si>
    <t>Chinese (HAN/BIL)</t>
  </si>
  <si>
    <t>Malay (Folktales)</t>
  </si>
  <si>
    <t>Tamil (Folktales)</t>
  </si>
  <si>
    <t>Chinese (FAM)</t>
  </si>
  <si>
    <t>Malay (FAM)</t>
  </si>
  <si>
    <t>Tamil (FAM)</t>
  </si>
  <si>
    <t>Young People's Non-Fiction</t>
  </si>
  <si>
    <t xml:space="preserve">Adult &amp; Young People's Non-Fiction </t>
  </si>
  <si>
    <t>Children's Fiction (Singapore)</t>
  </si>
  <si>
    <t>Children's Non-Fiction (Singapore)</t>
  </si>
  <si>
    <t>Children's Collection (Early Literacy - Baby)</t>
  </si>
  <si>
    <t>Children's Fiction (Early Literacy - Picture Books)</t>
  </si>
  <si>
    <t>Children's Non-Fiction (Early Literacy - Picture Books)</t>
  </si>
  <si>
    <t>Children's Fiction (Junior Simple)</t>
  </si>
  <si>
    <t>Children's Fiction (Juvenile)</t>
  </si>
  <si>
    <t>Children's Non-Fiction (Juvenile)</t>
  </si>
  <si>
    <t>Adult &amp; Young People's Fiction (Singapore)</t>
  </si>
  <si>
    <t>Adult &amp; Young People's Non-Fiction (Singapore)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</si>
</sst>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5"/>
  <sheetViews>
    <sheetView tabSelected="1" topLeftCell="A61" workbookViewId="0">
      <selection activeCell="H61" sqref="H61"/>
    </sheetView>
  </sheetViews>
  <sheetFormatPr defaultRowHeight="14.4" x14ac:dyDescent="0.3"/>
  <cols>
    <col min="1" max="1" width="49.5546875" customWidth="1"/>
    <col min="2" max="2" width="20.6640625" customWidth="1"/>
    <col min="3" max="3" width="13.33203125" style="3" customWidth="1"/>
    <col min="4" max="4" width="8.88671875" style="3"/>
  </cols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3">
      <c r="A2" t="s">
        <v>4</v>
      </c>
      <c r="B2" t="s">
        <v>7</v>
      </c>
      <c r="C2">
        <v>5593</v>
      </c>
      <c r="D2">
        <v>6942</v>
      </c>
    </row>
    <row r="3" spans="1:4" x14ac:dyDescent="0.3">
      <c r="A3" t="s">
        <v>4</v>
      </c>
      <c r="B3" t="s">
        <v>8</v>
      </c>
      <c r="C3">
        <v>3227</v>
      </c>
      <c r="D3">
        <v>1610</v>
      </c>
    </row>
    <row r="4" spans="1:4" x14ac:dyDescent="0.3">
      <c r="A4" t="s">
        <v>4</v>
      </c>
      <c r="B4" t="s">
        <v>9</v>
      </c>
      <c r="C4">
        <v>531</v>
      </c>
      <c r="D4">
        <v>600</v>
      </c>
    </row>
    <row r="5" spans="1:4" x14ac:dyDescent="0.3">
      <c r="A5" t="s">
        <v>4</v>
      </c>
      <c r="B5" t="s">
        <v>10</v>
      </c>
      <c r="C5">
        <v>1011</v>
      </c>
      <c r="D5">
        <v>2130</v>
      </c>
    </row>
    <row r="6" spans="1:4" x14ac:dyDescent="0.3">
      <c r="A6" t="s">
        <v>5</v>
      </c>
      <c r="B6" t="s">
        <v>7</v>
      </c>
      <c r="C6">
        <v>1769</v>
      </c>
      <c r="D6">
        <v>2416</v>
      </c>
    </row>
    <row r="7" spans="1:4" x14ac:dyDescent="0.3">
      <c r="A7" t="s">
        <v>5</v>
      </c>
      <c r="B7" t="s">
        <v>8</v>
      </c>
      <c r="C7">
        <v>245</v>
      </c>
      <c r="D7">
        <v>179</v>
      </c>
    </row>
    <row r="8" spans="1:4" x14ac:dyDescent="0.3">
      <c r="A8" t="s">
        <v>5</v>
      </c>
      <c r="B8" t="s">
        <v>9</v>
      </c>
      <c r="C8">
        <v>114</v>
      </c>
      <c r="D8">
        <v>88</v>
      </c>
    </row>
    <row r="9" spans="1:4" x14ac:dyDescent="0.3">
      <c r="A9" t="s">
        <v>5</v>
      </c>
      <c r="B9" t="s">
        <v>10</v>
      </c>
      <c r="C9">
        <v>131</v>
      </c>
      <c r="D9">
        <v>222</v>
      </c>
    </row>
    <row r="10" spans="1:4" x14ac:dyDescent="0.3">
      <c r="A10" t="s">
        <v>6</v>
      </c>
      <c r="B10" t="s">
        <v>11</v>
      </c>
      <c r="C10">
        <v>228</v>
      </c>
      <c r="D10">
        <v>125</v>
      </c>
    </row>
    <row r="11" spans="1:4" x14ac:dyDescent="0.3">
      <c r="A11" t="s">
        <v>6</v>
      </c>
      <c r="B11" t="s">
        <v>12</v>
      </c>
      <c r="C11">
        <v>1163</v>
      </c>
      <c r="D11">
        <v>1403</v>
      </c>
    </row>
    <row r="12" spans="1:4" x14ac:dyDescent="0.3">
      <c r="A12" t="s">
        <v>6</v>
      </c>
      <c r="B12" t="s">
        <v>13</v>
      </c>
      <c r="C12">
        <v>340</v>
      </c>
      <c r="D12">
        <v>426</v>
      </c>
    </row>
    <row r="13" spans="1:4" x14ac:dyDescent="0.3">
      <c r="A13" t="s">
        <v>6</v>
      </c>
      <c r="B13" t="s">
        <v>14</v>
      </c>
      <c r="C13">
        <v>1073</v>
      </c>
      <c r="D13">
        <v>1372</v>
      </c>
    </row>
    <row r="14" spans="1:4" x14ac:dyDescent="0.3">
      <c r="A14" t="s">
        <v>6</v>
      </c>
      <c r="B14" t="s">
        <v>15</v>
      </c>
      <c r="C14">
        <v>253</v>
      </c>
      <c r="D14">
        <v>226</v>
      </c>
    </row>
    <row r="15" spans="1:4" x14ac:dyDescent="0.3">
      <c r="A15" t="s">
        <v>6</v>
      </c>
      <c r="B15" t="s">
        <v>16</v>
      </c>
      <c r="C15">
        <v>603</v>
      </c>
      <c r="D15">
        <v>508</v>
      </c>
    </row>
    <row r="16" spans="1:4" x14ac:dyDescent="0.3">
      <c r="A16" t="s">
        <v>6</v>
      </c>
      <c r="B16" t="s">
        <v>17</v>
      </c>
      <c r="C16">
        <v>891</v>
      </c>
      <c r="D16">
        <v>670</v>
      </c>
    </row>
    <row r="17" spans="1:4" x14ac:dyDescent="0.3">
      <c r="A17" t="s">
        <v>6</v>
      </c>
      <c r="B17" t="s">
        <v>18</v>
      </c>
      <c r="C17">
        <v>141</v>
      </c>
      <c r="D17">
        <v>130</v>
      </c>
    </row>
    <row r="18" spans="1:4" x14ac:dyDescent="0.3">
      <c r="A18" t="s">
        <v>6</v>
      </c>
      <c r="B18" t="s">
        <v>19</v>
      </c>
      <c r="C18">
        <v>490</v>
      </c>
      <c r="D18">
        <v>414</v>
      </c>
    </row>
    <row r="19" spans="1:4" x14ac:dyDescent="0.3">
      <c r="A19" t="s">
        <v>6</v>
      </c>
      <c r="B19" t="s">
        <v>20</v>
      </c>
      <c r="C19">
        <v>720</v>
      </c>
      <c r="D19">
        <v>721</v>
      </c>
    </row>
    <row r="20" spans="1:4" x14ac:dyDescent="0.3">
      <c r="A20" t="s">
        <v>6</v>
      </c>
      <c r="B20" t="s">
        <v>21</v>
      </c>
      <c r="C20">
        <v>1896</v>
      </c>
      <c r="D20">
        <v>697</v>
      </c>
    </row>
    <row r="21" spans="1:4" x14ac:dyDescent="0.3">
      <c r="A21" t="s">
        <v>6</v>
      </c>
      <c r="B21" t="s">
        <v>22</v>
      </c>
      <c r="C21">
        <v>1798</v>
      </c>
      <c r="D21">
        <v>1697</v>
      </c>
    </row>
    <row r="22" spans="1:4" x14ac:dyDescent="0.3">
      <c r="A22" t="s">
        <v>6</v>
      </c>
      <c r="B22" t="s">
        <v>23</v>
      </c>
      <c r="C22">
        <v>799</v>
      </c>
      <c r="D22">
        <v>732</v>
      </c>
    </row>
    <row r="23" spans="1:4" x14ac:dyDescent="0.3">
      <c r="A23" t="s">
        <v>6</v>
      </c>
      <c r="B23" t="s">
        <v>24</v>
      </c>
      <c r="C23">
        <v>1066</v>
      </c>
      <c r="D23">
        <v>1295</v>
      </c>
    </row>
    <row r="24" spans="1:4" x14ac:dyDescent="0.3">
      <c r="A24" t="s">
        <v>6</v>
      </c>
      <c r="B24" t="s">
        <v>25</v>
      </c>
      <c r="C24">
        <v>339</v>
      </c>
      <c r="D24">
        <v>202</v>
      </c>
    </row>
    <row r="25" spans="1:4" x14ac:dyDescent="0.3">
      <c r="A25" t="s">
        <v>6</v>
      </c>
      <c r="B25" t="s">
        <v>26</v>
      </c>
      <c r="C25">
        <v>1067</v>
      </c>
      <c r="D25">
        <v>1251</v>
      </c>
    </row>
    <row r="26" spans="1:4" x14ac:dyDescent="0.3">
      <c r="A26" t="s">
        <v>6</v>
      </c>
      <c r="B26" t="s">
        <v>27</v>
      </c>
      <c r="C26">
        <v>607</v>
      </c>
      <c r="D26">
        <v>245</v>
      </c>
    </row>
    <row r="27" spans="1:4" x14ac:dyDescent="0.3">
      <c r="A27" t="s">
        <v>6</v>
      </c>
      <c r="B27" t="s">
        <v>28</v>
      </c>
      <c r="C27">
        <v>1112</v>
      </c>
      <c r="D27">
        <v>722</v>
      </c>
    </row>
    <row r="28" spans="1:4" x14ac:dyDescent="0.3">
      <c r="A28" t="s">
        <v>6</v>
      </c>
      <c r="B28" t="s">
        <v>29</v>
      </c>
      <c r="C28">
        <v>643</v>
      </c>
      <c r="D28">
        <v>383</v>
      </c>
    </row>
    <row r="29" spans="1:4" x14ac:dyDescent="0.3">
      <c r="A29" t="s">
        <v>44</v>
      </c>
      <c r="B29" t="s">
        <v>30</v>
      </c>
      <c r="C29">
        <v>995</v>
      </c>
      <c r="D29">
        <v>335</v>
      </c>
    </row>
    <row r="30" spans="1:4" x14ac:dyDescent="0.3">
      <c r="A30" t="s">
        <v>44</v>
      </c>
      <c r="B30" t="s">
        <v>29</v>
      </c>
      <c r="C30">
        <v>253</v>
      </c>
      <c r="D30">
        <v>293</v>
      </c>
    </row>
    <row r="31" spans="1:4" x14ac:dyDescent="0.3">
      <c r="A31" t="s">
        <v>45</v>
      </c>
      <c r="B31" t="s">
        <v>31</v>
      </c>
      <c r="C31">
        <f>4087+432-C34</f>
        <v>4409</v>
      </c>
      <c r="D31">
        <f>3640+166-D34</f>
        <v>3670</v>
      </c>
    </row>
    <row r="32" spans="1:4" x14ac:dyDescent="0.3">
      <c r="A32" t="s">
        <v>45</v>
      </c>
      <c r="B32" t="s">
        <v>32</v>
      </c>
      <c r="C32">
        <f>304+191-C35</f>
        <v>480</v>
      </c>
      <c r="D32">
        <f>653+214-D35</f>
        <v>831</v>
      </c>
    </row>
    <row r="33" spans="1:4" x14ac:dyDescent="0.3">
      <c r="A33" t="s">
        <v>45</v>
      </c>
      <c r="B33" t="s">
        <v>33</v>
      </c>
      <c r="C33">
        <f>1122+91-C36</f>
        <v>1202</v>
      </c>
      <c r="D33">
        <f>1440+157-D36</f>
        <v>1590</v>
      </c>
    </row>
    <row r="34" spans="1:4" x14ac:dyDescent="0.3">
      <c r="A34" t="s">
        <v>45</v>
      </c>
      <c r="B34" t="s">
        <v>41</v>
      </c>
      <c r="C34">
        <v>110</v>
      </c>
      <c r="D34">
        <v>136</v>
      </c>
    </row>
    <row r="35" spans="1:4" x14ac:dyDescent="0.3">
      <c r="A35" t="s">
        <v>45</v>
      </c>
      <c r="B35" t="s">
        <v>42</v>
      </c>
      <c r="C35">
        <v>15</v>
      </c>
      <c r="D35">
        <v>36</v>
      </c>
    </row>
    <row r="36" spans="1:4" x14ac:dyDescent="0.3">
      <c r="A36" t="s">
        <v>45</v>
      </c>
      <c r="B36" t="s">
        <v>43</v>
      </c>
      <c r="C36">
        <v>11</v>
      </c>
      <c r="D36">
        <v>7</v>
      </c>
    </row>
    <row r="37" spans="1:4" x14ac:dyDescent="0.3">
      <c r="A37" s="3" t="s">
        <v>54</v>
      </c>
      <c r="B37" s="3" t="s">
        <v>7</v>
      </c>
      <c r="C37">
        <f>54+282</f>
        <v>336</v>
      </c>
      <c r="D37">
        <f>43+406</f>
        <v>449</v>
      </c>
    </row>
    <row r="38" spans="1:4" x14ac:dyDescent="0.3">
      <c r="A38" s="3" t="s">
        <v>54</v>
      </c>
      <c r="B38" s="3" t="s">
        <v>8</v>
      </c>
      <c r="C38">
        <f>11+46</f>
        <v>57</v>
      </c>
      <c r="D38">
        <f>26+140</f>
        <v>166</v>
      </c>
    </row>
    <row r="39" spans="1:4" x14ac:dyDescent="0.3">
      <c r="A39" s="3" t="s">
        <v>54</v>
      </c>
      <c r="B39" s="3" t="s">
        <v>9</v>
      </c>
      <c r="C39">
        <f>5+31</f>
        <v>36</v>
      </c>
      <c r="D39">
        <v>88</v>
      </c>
    </row>
    <row r="40" spans="1:4" x14ac:dyDescent="0.3">
      <c r="A40" s="3" t="s">
        <v>54</v>
      </c>
      <c r="B40" s="3" t="s">
        <v>10</v>
      </c>
      <c r="C40">
        <f>13+56</f>
        <v>69</v>
      </c>
      <c r="D40">
        <v>135</v>
      </c>
    </row>
    <row r="41" spans="1:4" x14ac:dyDescent="0.3">
      <c r="A41" s="3" t="s">
        <v>55</v>
      </c>
      <c r="B41" s="3" t="s">
        <v>7</v>
      </c>
      <c r="C41">
        <f>26+3221</f>
        <v>3247</v>
      </c>
      <c r="D41">
        <f>24+797</f>
        <v>821</v>
      </c>
    </row>
    <row r="42" spans="1:4" x14ac:dyDescent="0.3">
      <c r="A42" s="3" t="s">
        <v>55</v>
      </c>
      <c r="B42" s="3" t="s">
        <v>8</v>
      </c>
      <c r="C42">
        <f>17+498</f>
        <v>515</v>
      </c>
      <c r="D42">
        <f>418+13</f>
        <v>431</v>
      </c>
    </row>
    <row r="43" spans="1:4" x14ac:dyDescent="0.3">
      <c r="A43" s="3" t="s">
        <v>55</v>
      </c>
      <c r="B43" s="3" t="s">
        <v>9</v>
      </c>
      <c r="C43">
        <f>10+56</f>
        <v>66</v>
      </c>
      <c r="D43">
        <f>26+114</f>
        <v>140</v>
      </c>
    </row>
    <row r="44" spans="1:4" x14ac:dyDescent="0.3">
      <c r="A44" s="3" t="s">
        <v>55</v>
      </c>
      <c r="B44" s="3" t="s">
        <v>10</v>
      </c>
      <c r="C44">
        <f>15+60</f>
        <v>75</v>
      </c>
      <c r="D44">
        <f>16+24</f>
        <v>40</v>
      </c>
    </row>
    <row r="45" spans="1:4" x14ac:dyDescent="0.3">
      <c r="A45" s="3" t="s">
        <v>46</v>
      </c>
      <c r="B45" s="3" t="s">
        <v>7</v>
      </c>
      <c r="C45">
        <v>357</v>
      </c>
      <c r="D45">
        <v>535</v>
      </c>
    </row>
    <row r="46" spans="1:4" x14ac:dyDescent="0.3">
      <c r="A46" s="3" t="s">
        <v>46</v>
      </c>
      <c r="B46" s="3" t="s">
        <v>8</v>
      </c>
      <c r="C46">
        <v>316</v>
      </c>
      <c r="D46">
        <v>872</v>
      </c>
    </row>
    <row r="47" spans="1:4" x14ac:dyDescent="0.3">
      <c r="A47" s="3" t="s">
        <v>46</v>
      </c>
      <c r="B47" s="3" t="s">
        <v>9</v>
      </c>
      <c r="C47">
        <v>183</v>
      </c>
      <c r="D47">
        <v>525</v>
      </c>
    </row>
    <row r="48" spans="1:4" x14ac:dyDescent="0.3">
      <c r="A48" s="3" t="s">
        <v>46</v>
      </c>
      <c r="B48" s="3" t="s">
        <v>10</v>
      </c>
      <c r="C48">
        <v>403</v>
      </c>
      <c r="D48">
        <v>420</v>
      </c>
    </row>
    <row r="49" spans="1:4" x14ac:dyDescent="0.3">
      <c r="A49" s="3" t="s">
        <v>47</v>
      </c>
      <c r="B49" s="3" t="s">
        <v>7</v>
      </c>
      <c r="C49">
        <v>244</v>
      </c>
      <c r="D49">
        <v>242</v>
      </c>
    </row>
    <row r="50" spans="1:4" x14ac:dyDescent="0.3">
      <c r="A50" s="3" t="s">
        <v>47</v>
      </c>
      <c r="B50" s="3" t="s">
        <v>8</v>
      </c>
      <c r="C50">
        <v>208</v>
      </c>
      <c r="D50">
        <v>83</v>
      </c>
    </row>
    <row r="51" spans="1:4" x14ac:dyDescent="0.3">
      <c r="A51" s="3" t="s">
        <v>47</v>
      </c>
      <c r="B51" s="3" t="s">
        <v>9</v>
      </c>
      <c r="C51">
        <v>50</v>
      </c>
      <c r="D51">
        <v>47</v>
      </c>
    </row>
    <row r="52" spans="1:4" x14ac:dyDescent="0.3">
      <c r="A52" s="3" t="s">
        <v>47</v>
      </c>
      <c r="B52" s="3" t="s">
        <v>10</v>
      </c>
      <c r="C52">
        <v>120</v>
      </c>
      <c r="D52">
        <v>102</v>
      </c>
    </row>
    <row r="53" spans="1:4" x14ac:dyDescent="0.3">
      <c r="A53" s="3" t="s">
        <v>48</v>
      </c>
      <c r="B53" s="3" t="s">
        <v>7</v>
      </c>
      <c r="C53">
        <v>6000</v>
      </c>
      <c r="D53">
        <v>5378</v>
      </c>
    </row>
    <row r="54" spans="1:4" x14ac:dyDescent="0.3">
      <c r="A54" t="s">
        <v>48</v>
      </c>
      <c r="B54" t="s">
        <v>34</v>
      </c>
      <c r="C54">
        <f>1000+200+300</f>
        <v>1500</v>
      </c>
      <c r="D54">
        <f>819+43+110</f>
        <v>972</v>
      </c>
    </row>
    <row r="55" spans="1:4" x14ac:dyDescent="0.3">
      <c r="A55" t="s">
        <v>49</v>
      </c>
      <c r="B55" t="s">
        <v>7</v>
      </c>
      <c r="C55">
        <v>3468</v>
      </c>
      <c r="D55">
        <v>6009</v>
      </c>
    </row>
    <row r="56" spans="1:4" x14ac:dyDescent="0.3">
      <c r="A56" t="s">
        <v>49</v>
      </c>
      <c r="B56" t="s">
        <v>35</v>
      </c>
      <c r="C56">
        <v>2075</v>
      </c>
      <c r="D56">
        <v>394</v>
      </c>
    </row>
    <row r="57" spans="1:4" x14ac:dyDescent="0.3">
      <c r="A57" t="s">
        <v>49</v>
      </c>
      <c r="B57" t="s">
        <v>38</v>
      </c>
      <c r="C57">
        <v>332</v>
      </c>
      <c r="D57">
        <v>128</v>
      </c>
    </row>
    <row r="58" spans="1:4" x14ac:dyDescent="0.3">
      <c r="A58" t="s">
        <v>49</v>
      </c>
      <c r="B58" t="s">
        <v>9</v>
      </c>
      <c r="C58">
        <v>260</v>
      </c>
      <c r="D58">
        <v>355</v>
      </c>
    </row>
    <row r="59" spans="1:4" x14ac:dyDescent="0.3">
      <c r="A59" t="s">
        <v>49</v>
      </c>
      <c r="B59" t="s">
        <v>10</v>
      </c>
      <c r="C59">
        <v>140</v>
      </c>
      <c r="D59">
        <v>114</v>
      </c>
    </row>
    <row r="60" spans="1:4" x14ac:dyDescent="0.3">
      <c r="A60" t="s">
        <v>50</v>
      </c>
      <c r="B60" t="s">
        <v>36</v>
      </c>
      <c r="C60">
        <v>174</v>
      </c>
      <c r="D60">
        <v>185</v>
      </c>
    </row>
    <row r="61" spans="1:4" x14ac:dyDescent="0.3">
      <c r="A61" t="s">
        <v>50</v>
      </c>
      <c r="B61" t="s">
        <v>30</v>
      </c>
      <c r="C61">
        <v>2622</v>
      </c>
      <c r="D61">
        <v>5019</v>
      </c>
    </row>
    <row r="62" spans="1:4" x14ac:dyDescent="0.3">
      <c r="A62" t="s">
        <v>50</v>
      </c>
      <c r="B62" t="s">
        <v>37</v>
      </c>
      <c r="C62">
        <v>213</v>
      </c>
      <c r="D62">
        <v>5</v>
      </c>
    </row>
    <row r="63" spans="1:4" x14ac:dyDescent="0.3">
      <c r="A63" t="s">
        <v>50</v>
      </c>
      <c r="B63" t="s">
        <v>31</v>
      </c>
      <c r="C63">
        <v>521</v>
      </c>
      <c r="D63">
        <v>137</v>
      </c>
    </row>
    <row r="64" spans="1:4" x14ac:dyDescent="0.3">
      <c r="A64" t="s">
        <v>50</v>
      </c>
      <c r="B64" t="s">
        <v>38</v>
      </c>
      <c r="C64">
        <v>70</v>
      </c>
      <c r="D64">
        <v>46</v>
      </c>
    </row>
    <row r="65" spans="1:4" x14ac:dyDescent="0.3">
      <c r="A65" t="s">
        <v>50</v>
      </c>
      <c r="B65" t="s">
        <v>39</v>
      </c>
      <c r="C65">
        <v>124</v>
      </c>
      <c r="D65">
        <v>26</v>
      </c>
    </row>
    <row r="66" spans="1:4" x14ac:dyDescent="0.3">
      <c r="A66" t="s">
        <v>50</v>
      </c>
      <c r="B66" t="s">
        <v>32</v>
      </c>
      <c r="C66">
        <v>50</v>
      </c>
      <c r="D66">
        <v>20</v>
      </c>
    </row>
    <row r="67" spans="1:4" x14ac:dyDescent="0.3">
      <c r="A67" t="s">
        <v>50</v>
      </c>
      <c r="B67" t="s">
        <v>40</v>
      </c>
      <c r="C67">
        <v>45</v>
      </c>
      <c r="D67">
        <v>0</v>
      </c>
    </row>
    <row r="68" spans="1:4" x14ac:dyDescent="0.3">
      <c r="A68" t="s">
        <v>50</v>
      </c>
      <c r="B68" t="s">
        <v>33</v>
      </c>
      <c r="C68">
        <v>32</v>
      </c>
      <c r="D68">
        <v>27</v>
      </c>
    </row>
    <row r="69" spans="1:4" x14ac:dyDescent="0.3">
      <c r="A69" t="s">
        <v>51</v>
      </c>
      <c r="B69" t="s">
        <v>7</v>
      </c>
      <c r="C69">
        <v>3552</v>
      </c>
      <c r="D69">
        <v>3450</v>
      </c>
    </row>
    <row r="70" spans="1:4" x14ac:dyDescent="0.3">
      <c r="A70" t="s">
        <v>52</v>
      </c>
      <c r="B70" t="s">
        <v>7</v>
      </c>
      <c r="C70">
        <v>4332</v>
      </c>
      <c r="D70">
        <v>3998</v>
      </c>
    </row>
    <row r="71" spans="1:4" x14ac:dyDescent="0.3">
      <c r="A71" t="s">
        <v>52</v>
      </c>
      <c r="B71" t="s">
        <v>8</v>
      </c>
      <c r="C71">
        <v>660</v>
      </c>
      <c r="D71">
        <v>953</v>
      </c>
    </row>
    <row r="72" spans="1:4" x14ac:dyDescent="0.3">
      <c r="A72" t="s">
        <v>52</v>
      </c>
      <c r="B72" t="s">
        <v>38</v>
      </c>
      <c r="C72">
        <v>710</v>
      </c>
      <c r="D72">
        <v>735</v>
      </c>
    </row>
    <row r="73" spans="1:4" x14ac:dyDescent="0.3">
      <c r="A73" t="s">
        <v>52</v>
      </c>
      <c r="B73" t="s">
        <v>9</v>
      </c>
      <c r="C73">
        <v>395</v>
      </c>
      <c r="D73">
        <v>577</v>
      </c>
    </row>
    <row r="74" spans="1:4" x14ac:dyDescent="0.3">
      <c r="A74" t="s">
        <v>52</v>
      </c>
      <c r="B74" t="s">
        <v>10</v>
      </c>
      <c r="C74">
        <v>240</v>
      </c>
      <c r="D74">
        <v>296</v>
      </c>
    </row>
    <row r="75" spans="1:4" x14ac:dyDescent="0.3">
      <c r="A75" t="s">
        <v>53</v>
      </c>
      <c r="B75" t="s">
        <v>36</v>
      </c>
      <c r="C75">
        <v>164</v>
      </c>
      <c r="D75">
        <v>195</v>
      </c>
    </row>
    <row r="76" spans="1:4" x14ac:dyDescent="0.3">
      <c r="A76" t="s">
        <v>53</v>
      </c>
      <c r="B76" t="s">
        <v>30</v>
      </c>
      <c r="C76">
        <v>4182</v>
      </c>
      <c r="D76">
        <v>5365</v>
      </c>
    </row>
    <row r="77" spans="1:4" x14ac:dyDescent="0.3">
      <c r="A77" t="s">
        <v>53</v>
      </c>
      <c r="B77" t="s">
        <v>37</v>
      </c>
      <c r="C77">
        <v>68</v>
      </c>
      <c r="D77">
        <v>33</v>
      </c>
    </row>
    <row r="78" spans="1:4" x14ac:dyDescent="0.3">
      <c r="A78" t="s">
        <v>53</v>
      </c>
      <c r="B78" t="s">
        <v>31</v>
      </c>
      <c r="C78">
        <v>1006</v>
      </c>
      <c r="D78">
        <v>827</v>
      </c>
    </row>
    <row r="79" spans="1:4" x14ac:dyDescent="0.3">
      <c r="A79" t="s">
        <v>53</v>
      </c>
      <c r="B79" t="s">
        <v>38</v>
      </c>
      <c r="C79">
        <v>92</v>
      </c>
      <c r="D79">
        <v>33</v>
      </c>
    </row>
    <row r="80" spans="1:4" x14ac:dyDescent="0.3">
      <c r="A80" t="s">
        <v>53</v>
      </c>
      <c r="B80" t="s">
        <v>39</v>
      </c>
      <c r="C80">
        <v>87</v>
      </c>
      <c r="D80">
        <v>31</v>
      </c>
    </row>
    <row r="81" spans="1:4" x14ac:dyDescent="0.3">
      <c r="A81" t="s">
        <v>53</v>
      </c>
      <c r="B81" t="s">
        <v>32</v>
      </c>
      <c r="C81">
        <v>105</v>
      </c>
      <c r="D81">
        <v>88</v>
      </c>
    </row>
    <row r="82" spans="1:4" x14ac:dyDescent="0.3">
      <c r="A82" t="s">
        <v>53</v>
      </c>
      <c r="B82" t="s">
        <v>40</v>
      </c>
      <c r="C82">
        <v>64</v>
      </c>
      <c r="D82">
        <v>8</v>
      </c>
    </row>
    <row r="83" spans="1:4" x14ac:dyDescent="0.3">
      <c r="A83" t="s">
        <v>53</v>
      </c>
      <c r="B83" t="s">
        <v>33</v>
      </c>
      <c r="C83">
        <v>110</v>
      </c>
      <c r="D83">
        <v>197</v>
      </c>
    </row>
    <row r="84" spans="1:4" x14ac:dyDescent="0.3">
      <c r="C84"/>
      <c r="D84"/>
    </row>
    <row r="85" spans="1:4" x14ac:dyDescent="0.3">
      <c r="C85"/>
      <c r="D8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Ying Xuan Lim</cp:lastModifiedBy>
  <dcterms:created xsi:type="dcterms:W3CDTF">2025-11-26T12:31:55Z</dcterms:created>
  <dcterms:modified xsi:type="dcterms:W3CDTF">2025-12-05T00:56:45Z</dcterms:modified>
</cp:coreProperties>
</file>