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5915\Desktop\SDS\NLB update\"/>
    </mc:Choice>
  </mc:AlternateContent>
  <xr:revisionPtr revIDLastSave="0" documentId="13_ncr:1_{C27FC8A9-BF4E-4B7B-9D83-83875DB9C179}" xr6:coauthVersionLast="47" xr6:coauthVersionMax="47" xr10:uidLastSave="{00000000-0000-0000-0000-000000000000}"/>
  <bookViews>
    <workbookView xWindow="10752" yWindow="0" windowWidth="12384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13" i="1"/>
  <c r="D52" i="1"/>
  <c r="C52" i="1"/>
  <c r="D28" i="1"/>
  <c r="C28" i="1"/>
  <c r="D40" i="1"/>
  <c r="C40" i="1"/>
  <c r="C39" i="1"/>
  <c r="D27" i="1"/>
  <c r="C27" i="1"/>
  <c r="D38" i="1"/>
  <c r="C38" i="1"/>
  <c r="D37" i="1"/>
  <c r="C37" i="1"/>
  <c r="D59" i="1"/>
  <c r="C59" i="1"/>
  <c r="D73" i="1"/>
  <c r="C73" i="1"/>
  <c r="C23" i="1"/>
  <c r="D26" i="1"/>
  <c r="C26" i="1"/>
  <c r="D35" i="1"/>
  <c r="C13" i="1"/>
  <c r="D34" i="1"/>
  <c r="C34" i="1"/>
</calcChain>
</file>

<file path=xl/sharedStrings.xml><?xml version="1.0" encoding="utf-8"?>
<sst xmlns="http://schemas.openxmlformats.org/spreadsheetml/2006/main" count="162" uniqueCount="78">
  <si>
    <t>Category</t>
  </si>
  <si>
    <t>Sub category</t>
  </si>
  <si>
    <t>Target end state collection</t>
  </si>
  <si>
    <t>Retained</t>
  </si>
  <si>
    <t>Adult's English Fiction</t>
  </si>
  <si>
    <t>Adult's English Non-Fiction (with YP English Non-fiction intershelved)</t>
  </si>
  <si>
    <t>Adult's Language Collection + YP Non-Fiction</t>
  </si>
  <si>
    <t>YP's Fiction Collection</t>
  </si>
  <si>
    <t>Adult and YP's Singapore Collection</t>
  </si>
  <si>
    <t>Children's Singapore Collection</t>
  </si>
  <si>
    <t>Children's Early Literacy Collection</t>
  </si>
  <si>
    <t>All Languages - Junior Simple and Juvenile</t>
  </si>
  <si>
    <t>All Languages - Family &amp; Parenting</t>
  </si>
  <si>
    <t>Fiction</t>
  </si>
  <si>
    <t>General Non-Fiction - 000</t>
  </si>
  <si>
    <t>General Non-Fiction - 100</t>
  </si>
  <si>
    <t>General Non-Fiction - 200</t>
  </si>
  <si>
    <t>General Non-Fiction - 300</t>
  </si>
  <si>
    <t>General Non-Fiction - 400</t>
  </si>
  <si>
    <t>General Non-Fiction - 500</t>
  </si>
  <si>
    <t>General Non-Fiction - 600</t>
  </si>
  <si>
    <t>General Non-Fiction - 700</t>
  </si>
  <si>
    <t>General Non-Fiction - 800</t>
  </si>
  <si>
    <t>General Non-Fiction - 900</t>
  </si>
  <si>
    <t>General Non-Fiction - YP General Non-fiction</t>
  </si>
  <si>
    <t>General Non-Fiction - YP CMX</t>
  </si>
  <si>
    <t>Popular Non-Fiction - ART</t>
  </si>
  <si>
    <t>Popular Non-Fiction - BIZ</t>
  </si>
  <si>
    <t>Popular Non-Fiction - COM</t>
  </si>
  <si>
    <t>Popular Non-Fiction - COO</t>
  </si>
  <si>
    <t>Popular Non-Fiction - CMX</t>
  </si>
  <si>
    <t>Popular Non-Fiction - HEA</t>
  </si>
  <si>
    <t>Popular Non-Fiction - REC</t>
  </si>
  <si>
    <t>Popular Non-Fiction - TRA</t>
  </si>
  <si>
    <t>Chinese - Fiction</t>
  </si>
  <si>
    <t>Malay - Fiction</t>
  </si>
  <si>
    <t>Tamil - Fiction</t>
  </si>
  <si>
    <t>Chinese - Non-fiction</t>
  </si>
  <si>
    <t>Malay - Non-fiction</t>
  </si>
  <si>
    <t>Tamil - Non-fiction</t>
  </si>
  <si>
    <t>English</t>
  </si>
  <si>
    <t>Chinese</t>
  </si>
  <si>
    <t>Malay</t>
  </si>
  <si>
    <t>Tamil</t>
  </si>
  <si>
    <t>English - Fiction</t>
  </si>
  <si>
    <t>English - Non-fiction</t>
  </si>
  <si>
    <t xml:space="preserve">Early Literacy (Baby) - English </t>
  </si>
  <si>
    <t>Early Literacy (Baby) - English (Spine)</t>
  </si>
  <si>
    <t>Early Literacy (Baby) - English  (Front)</t>
  </si>
  <si>
    <t>Early Literacy (Baby) - Languages</t>
  </si>
  <si>
    <t>Picture Books (ENG) - Fiction</t>
  </si>
  <si>
    <t>Picture Books (ENG) - Folktales</t>
  </si>
  <si>
    <t>Picture Books (ENG) - Non-ficition</t>
  </si>
  <si>
    <t>Picture Books (MTL) - Chinese Fiction</t>
  </si>
  <si>
    <t>Picture Books (MTL) - Chinese Folktales</t>
  </si>
  <si>
    <t>Picture Books (MTL) - Chinese Non-Fiction</t>
  </si>
  <si>
    <t>Picture Books (MTL) - Chinese (HAN/BIL)</t>
  </si>
  <si>
    <t>Picture Books (MTL) - Malay Fiction</t>
  </si>
  <si>
    <t>Picture Books (MTL) - Malay Folktales</t>
  </si>
  <si>
    <t>Picture Books (MTL) - Malay Non-Fiction</t>
  </si>
  <si>
    <t>Picture Books (MTL) - Tamil Fiction</t>
  </si>
  <si>
    <t>Picture Books (MTL) - Tamil Folktales</t>
  </si>
  <si>
    <t>Picture Books (MTL) - Tamil Non-Fiction</t>
  </si>
  <si>
    <t>Junior Simple and Juvenile (ENG) - Junior Simple</t>
  </si>
  <si>
    <t>Junior Simple and Juvenile (ENG) - Juvenile Fiction</t>
  </si>
  <si>
    <t>Junior Simple and Juvenile (ENG) - Juvenile Folktales</t>
  </si>
  <si>
    <t>Junior Simple and Juvenile (ENG) - Juvenile Non-Fiction</t>
  </si>
  <si>
    <t>Juvenile (MTL) - Chinese Fiction</t>
  </si>
  <si>
    <t>Juvenile (MTL) - Chinese Folktales</t>
  </si>
  <si>
    <t>Juvenile (MTL) - Chinese Non-Fiction</t>
  </si>
  <si>
    <t>Juvenile (MTL) - Chinese (HAN/BIL)</t>
  </si>
  <si>
    <t>Juvenile (MTL) - Malay Fiction</t>
  </si>
  <si>
    <t>Juvenile (MTL) - Malay Folktales</t>
  </si>
  <si>
    <t>Juvenile (MTL) - Malay Non-Fiction</t>
  </si>
  <si>
    <t>Juvenile (MTL) - Tamil Fiction</t>
  </si>
  <si>
    <t>Juvenile (MTL) - Tamil Folktales</t>
  </si>
  <si>
    <t>Juvenile (MTL) - Tamil Non-Fiction</t>
  </si>
  <si>
    <t>Family &amp; Parenting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</si>
</sst>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workbookViewId="0">
      <pane ySplit="1" topLeftCell="A17" activePane="bottomLeft" state="frozen"/>
      <selection pane="bottomLeft" activeCell="B27" sqref="B27"/>
    </sheetView>
  </sheetViews>
  <sheetFormatPr defaultRowHeight="14.4" x14ac:dyDescent="0.3"/>
  <cols>
    <col min="1" max="1" width="54.109375" customWidth="1"/>
    <col min="2" max="2" width="30.33203125" customWidth="1"/>
    <col min="3" max="3" width="15.44140625" customWidth="1"/>
    <col min="4" max="4" width="17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13</v>
      </c>
      <c r="C2">
        <v>5593</v>
      </c>
      <c r="D2">
        <v>6942</v>
      </c>
    </row>
    <row r="3" spans="1:4" x14ac:dyDescent="0.3">
      <c r="A3" t="s">
        <v>5</v>
      </c>
      <c r="B3" t="s">
        <v>14</v>
      </c>
      <c r="C3" s="2">
        <v>228</v>
      </c>
      <c r="D3" s="3">
        <v>125</v>
      </c>
    </row>
    <row r="4" spans="1:4" x14ac:dyDescent="0.3">
      <c r="A4" t="s">
        <v>5</v>
      </c>
      <c r="B4" t="s">
        <v>15</v>
      </c>
      <c r="C4" s="4">
        <v>1163</v>
      </c>
      <c r="D4" s="5">
        <v>1403</v>
      </c>
    </row>
    <row r="5" spans="1:4" x14ac:dyDescent="0.3">
      <c r="A5" t="s">
        <v>5</v>
      </c>
      <c r="B5" t="s">
        <v>16</v>
      </c>
      <c r="C5" s="2">
        <v>340</v>
      </c>
      <c r="D5" s="3">
        <v>426</v>
      </c>
    </row>
    <row r="6" spans="1:4" x14ac:dyDescent="0.3">
      <c r="A6" t="s">
        <v>5</v>
      </c>
      <c r="B6" t="s">
        <v>17</v>
      </c>
      <c r="C6" s="4">
        <v>1073</v>
      </c>
      <c r="D6" s="5">
        <v>1372</v>
      </c>
    </row>
    <row r="7" spans="1:4" x14ac:dyDescent="0.3">
      <c r="A7" t="s">
        <v>5</v>
      </c>
      <c r="B7" t="s">
        <v>18</v>
      </c>
      <c r="C7" s="2">
        <v>253</v>
      </c>
      <c r="D7" s="3">
        <v>226</v>
      </c>
    </row>
    <row r="8" spans="1:4" x14ac:dyDescent="0.3">
      <c r="A8" t="s">
        <v>5</v>
      </c>
      <c r="B8" t="s">
        <v>19</v>
      </c>
      <c r="C8" s="2">
        <v>603</v>
      </c>
      <c r="D8" s="3">
        <v>508</v>
      </c>
    </row>
    <row r="9" spans="1:4" x14ac:dyDescent="0.3">
      <c r="A9" t="s">
        <v>5</v>
      </c>
      <c r="B9" t="s">
        <v>20</v>
      </c>
      <c r="C9" s="2">
        <v>891</v>
      </c>
      <c r="D9" s="3">
        <v>670</v>
      </c>
    </row>
    <row r="10" spans="1:4" x14ac:dyDescent="0.3">
      <c r="A10" t="s">
        <v>5</v>
      </c>
      <c r="B10" t="s">
        <v>21</v>
      </c>
      <c r="C10" s="2">
        <v>141</v>
      </c>
      <c r="D10" s="3">
        <v>130</v>
      </c>
    </row>
    <row r="11" spans="1:4" x14ac:dyDescent="0.3">
      <c r="A11" t="s">
        <v>5</v>
      </c>
      <c r="B11" t="s">
        <v>22</v>
      </c>
      <c r="C11" s="2">
        <v>490</v>
      </c>
      <c r="D11" s="3">
        <v>414</v>
      </c>
    </row>
    <row r="12" spans="1:4" x14ac:dyDescent="0.3">
      <c r="A12" t="s">
        <v>5</v>
      </c>
      <c r="B12" t="s">
        <v>23</v>
      </c>
      <c r="C12" s="2">
        <v>720</v>
      </c>
      <c r="D12" s="3">
        <v>721</v>
      </c>
    </row>
    <row r="13" spans="1:4" x14ac:dyDescent="0.3">
      <c r="A13" t="s">
        <v>5</v>
      </c>
      <c r="B13" t="s">
        <v>24</v>
      </c>
      <c r="C13" s="4">
        <f>995+1769</f>
        <v>2764</v>
      </c>
      <c r="D13" s="4">
        <f>335</f>
        <v>335</v>
      </c>
    </row>
    <row r="14" spans="1:4" x14ac:dyDescent="0.3">
      <c r="A14" t="s">
        <v>5</v>
      </c>
      <c r="B14" t="s">
        <v>25</v>
      </c>
      <c r="C14" s="2">
        <v>253</v>
      </c>
      <c r="D14" s="6">
        <v>293</v>
      </c>
    </row>
    <row r="15" spans="1:4" x14ac:dyDescent="0.3">
      <c r="A15" t="s">
        <v>5</v>
      </c>
      <c r="B15" t="s">
        <v>26</v>
      </c>
      <c r="C15" s="4">
        <v>1896</v>
      </c>
      <c r="D15" s="3">
        <v>697</v>
      </c>
    </row>
    <row r="16" spans="1:4" x14ac:dyDescent="0.3">
      <c r="A16" t="s">
        <v>5</v>
      </c>
      <c r="B16" t="s">
        <v>27</v>
      </c>
      <c r="C16" s="4">
        <v>1798</v>
      </c>
      <c r="D16" s="5">
        <v>1697</v>
      </c>
    </row>
    <row r="17" spans="1:4" x14ac:dyDescent="0.3">
      <c r="A17" t="s">
        <v>5</v>
      </c>
      <c r="B17" t="s">
        <v>28</v>
      </c>
      <c r="C17" s="2">
        <v>799</v>
      </c>
      <c r="D17" s="3">
        <v>732</v>
      </c>
    </row>
    <row r="18" spans="1:4" x14ac:dyDescent="0.3">
      <c r="A18" t="s">
        <v>5</v>
      </c>
      <c r="B18" t="s">
        <v>29</v>
      </c>
      <c r="C18" s="4">
        <v>1066</v>
      </c>
      <c r="D18" s="5">
        <v>1295</v>
      </c>
    </row>
    <row r="19" spans="1:4" x14ac:dyDescent="0.3">
      <c r="A19" t="s">
        <v>5</v>
      </c>
      <c r="B19" t="s">
        <v>30</v>
      </c>
      <c r="C19" s="2">
        <v>643</v>
      </c>
      <c r="D19" s="3">
        <v>383</v>
      </c>
    </row>
    <row r="20" spans="1:4" x14ac:dyDescent="0.3">
      <c r="A20" t="s">
        <v>5</v>
      </c>
      <c r="B20" t="s">
        <v>31</v>
      </c>
      <c r="C20" s="4">
        <v>1067</v>
      </c>
      <c r="D20" s="5">
        <v>1251</v>
      </c>
    </row>
    <row r="21" spans="1:4" x14ac:dyDescent="0.3">
      <c r="A21" t="s">
        <v>5</v>
      </c>
      <c r="B21" t="s">
        <v>32</v>
      </c>
      <c r="C21" s="2">
        <v>607</v>
      </c>
      <c r="D21" s="3">
        <v>245</v>
      </c>
    </row>
    <row r="22" spans="1:4" x14ac:dyDescent="0.3">
      <c r="A22" t="s">
        <v>5</v>
      </c>
      <c r="B22" t="s">
        <v>33</v>
      </c>
      <c r="C22" s="4">
        <v>1112</v>
      </c>
      <c r="D22" s="3">
        <v>722</v>
      </c>
    </row>
    <row r="23" spans="1:4" x14ac:dyDescent="0.3">
      <c r="A23" t="s">
        <v>6</v>
      </c>
      <c r="B23" t="s">
        <v>34</v>
      </c>
      <c r="C23" s="8">
        <f>245+3227</f>
        <v>3472</v>
      </c>
      <c r="D23" s="9">
        <f>1610</f>
        <v>1610</v>
      </c>
    </row>
    <row r="24" spans="1:4" x14ac:dyDescent="0.3">
      <c r="A24" t="s">
        <v>6</v>
      </c>
      <c r="B24" t="s">
        <v>35</v>
      </c>
      <c r="C24" s="11">
        <v>531</v>
      </c>
      <c r="D24" s="14">
        <v>600</v>
      </c>
    </row>
    <row r="25" spans="1:4" x14ac:dyDescent="0.3">
      <c r="A25" t="s">
        <v>6</v>
      </c>
      <c r="B25" t="s">
        <v>36</v>
      </c>
      <c r="C25" s="19">
        <v>1011</v>
      </c>
      <c r="D25" s="20">
        <v>2130</v>
      </c>
    </row>
    <row r="26" spans="1:4" x14ac:dyDescent="0.3">
      <c r="A26" t="s">
        <v>6</v>
      </c>
      <c r="B26" t="s">
        <v>37</v>
      </c>
      <c r="C26" s="10">
        <f>4585+431</f>
        <v>5016</v>
      </c>
      <c r="D26" s="10">
        <f>159+7+4058</f>
        <v>4224</v>
      </c>
    </row>
    <row r="27" spans="1:4" x14ac:dyDescent="0.3">
      <c r="A27" t="s">
        <v>6</v>
      </c>
      <c r="B27" t="s">
        <v>38</v>
      </c>
      <c r="C27">
        <f>191+304</f>
        <v>495</v>
      </c>
      <c r="D27">
        <f>214+653</f>
        <v>867</v>
      </c>
    </row>
    <row r="28" spans="1:4" x14ac:dyDescent="0.3">
      <c r="A28" t="s">
        <v>6</v>
      </c>
      <c r="B28" t="s">
        <v>39</v>
      </c>
      <c r="C28">
        <f>1122+91</f>
        <v>1213</v>
      </c>
      <c r="D28">
        <f>1440+157</f>
        <v>1597</v>
      </c>
    </row>
    <row r="29" spans="1:4" x14ac:dyDescent="0.3">
      <c r="A29" t="s">
        <v>7</v>
      </c>
      <c r="B29" t="s">
        <v>40</v>
      </c>
      <c r="C29" s="23">
        <v>1769</v>
      </c>
      <c r="D29" s="23">
        <v>2416</v>
      </c>
    </row>
    <row r="30" spans="1:4" x14ac:dyDescent="0.3">
      <c r="A30" t="s">
        <v>7</v>
      </c>
      <c r="B30" t="s">
        <v>41</v>
      </c>
      <c r="C30" s="22">
        <v>245</v>
      </c>
      <c r="D30" s="22">
        <v>179</v>
      </c>
    </row>
    <row r="31" spans="1:4" x14ac:dyDescent="0.3">
      <c r="A31" t="s">
        <v>7</v>
      </c>
      <c r="B31" t="s">
        <v>42</v>
      </c>
      <c r="C31" s="11">
        <v>114</v>
      </c>
      <c r="D31" s="13">
        <v>88</v>
      </c>
    </row>
    <row r="32" spans="1:4" x14ac:dyDescent="0.3">
      <c r="A32" t="s">
        <v>7</v>
      </c>
      <c r="B32" t="s">
        <v>43</v>
      </c>
      <c r="C32" s="21">
        <v>131</v>
      </c>
      <c r="D32" s="22">
        <v>222</v>
      </c>
    </row>
    <row r="33" spans="1:4" x14ac:dyDescent="0.3">
      <c r="A33" t="s">
        <v>8</v>
      </c>
      <c r="B33" t="s">
        <v>44</v>
      </c>
      <c r="C33">
        <v>336</v>
      </c>
      <c r="D33">
        <v>449</v>
      </c>
    </row>
    <row r="34" spans="1:4" x14ac:dyDescent="0.3">
      <c r="A34" t="s">
        <v>8</v>
      </c>
      <c r="B34" t="s">
        <v>45</v>
      </c>
      <c r="C34" s="4">
        <f>3221+26</f>
        <v>3247</v>
      </c>
      <c r="D34" s="3">
        <f>24+797</f>
        <v>821</v>
      </c>
    </row>
    <row r="35" spans="1:4" x14ac:dyDescent="0.3">
      <c r="A35" t="s">
        <v>8</v>
      </c>
      <c r="B35" t="s">
        <v>34</v>
      </c>
      <c r="C35" s="7">
        <v>46</v>
      </c>
      <c r="D35" s="7">
        <f>26+140</f>
        <v>166</v>
      </c>
    </row>
    <row r="36" spans="1:4" x14ac:dyDescent="0.3">
      <c r="A36" t="s">
        <v>8</v>
      </c>
      <c r="B36" t="s">
        <v>37</v>
      </c>
      <c r="C36">
        <v>17</v>
      </c>
      <c r="D36">
        <v>13</v>
      </c>
    </row>
    <row r="37" spans="1:4" x14ac:dyDescent="0.3">
      <c r="A37" t="s">
        <v>8</v>
      </c>
      <c r="B37" t="s">
        <v>35</v>
      </c>
      <c r="C37">
        <f>31+5</f>
        <v>36</v>
      </c>
      <c r="D37">
        <f>80+8</f>
        <v>88</v>
      </c>
    </row>
    <row r="38" spans="1:4" x14ac:dyDescent="0.3">
      <c r="A38" t="s">
        <v>8</v>
      </c>
      <c r="B38" t="s">
        <v>38</v>
      </c>
      <c r="C38" s="11">
        <f>10+56</f>
        <v>66</v>
      </c>
      <c r="D38" s="12">
        <f>26+114</f>
        <v>140</v>
      </c>
    </row>
    <row r="39" spans="1:4" x14ac:dyDescent="0.3">
      <c r="A39" t="s">
        <v>8</v>
      </c>
      <c r="B39" t="s">
        <v>36</v>
      </c>
      <c r="C39" s="16">
        <f>13+56</f>
        <v>69</v>
      </c>
      <c r="D39" s="17">
        <v>135</v>
      </c>
    </row>
    <row r="40" spans="1:4" x14ac:dyDescent="0.3">
      <c r="A40" t="s">
        <v>8</v>
      </c>
      <c r="B40" t="s">
        <v>39</v>
      </c>
      <c r="C40" s="16">
        <f>15+60</f>
        <v>75</v>
      </c>
      <c r="D40" s="17">
        <f>16+24</f>
        <v>40</v>
      </c>
    </row>
    <row r="41" spans="1:4" x14ac:dyDescent="0.3">
      <c r="A41" t="s">
        <v>9</v>
      </c>
      <c r="B41" t="s">
        <v>44</v>
      </c>
      <c r="C41" s="2">
        <v>357</v>
      </c>
      <c r="D41" s="2">
        <v>535</v>
      </c>
    </row>
    <row r="42" spans="1:4" x14ac:dyDescent="0.3">
      <c r="A42" t="s">
        <v>9</v>
      </c>
      <c r="B42" t="s">
        <v>45</v>
      </c>
      <c r="C42">
        <v>244</v>
      </c>
      <c r="D42">
        <v>242</v>
      </c>
    </row>
    <row r="43" spans="1:4" x14ac:dyDescent="0.3">
      <c r="A43" t="s">
        <v>9</v>
      </c>
      <c r="B43" t="s">
        <v>34</v>
      </c>
      <c r="C43">
        <v>316</v>
      </c>
      <c r="D43">
        <v>872</v>
      </c>
    </row>
    <row r="44" spans="1:4" x14ac:dyDescent="0.3">
      <c r="A44" t="s">
        <v>9</v>
      </c>
      <c r="B44" t="s">
        <v>37</v>
      </c>
      <c r="C44">
        <v>208</v>
      </c>
      <c r="D44">
        <v>83</v>
      </c>
    </row>
    <row r="45" spans="1:4" x14ac:dyDescent="0.3">
      <c r="A45" t="s">
        <v>9</v>
      </c>
      <c r="B45" t="s">
        <v>35</v>
      </c>
      <c r="C45" s="12">
        <v>183</v>
      </c>
      <c r="D45" s="12">
        <v>525</v>
      </c>
    </row>
    <row r="46" spans="1:4" x14ac:dyDescent="0.3">
      <c r="A46" t="s">
        <v>9</v>
      </c>
      <c r="B46" t="s">
        <v>38</v>
      </c>
      <c r="C46">
        <v>50</v>
      </c>
      <c r="D46">
        <v>47</v>
      </c>
    </row>
    <row r="47" spans="1:4" x14ac:dyDescent="0.3">
      <c r="A47" t="s">
        <v>9</v>
      </c>
      <c r="B47" t="s">
        <v>36</v>
      </c>
      <c r="C47" s="16">
        <v>403</v>
      </c>
      <c r="D47" s="18">
        <v>420</v>
      </c>
    </row>
    <row r="48" spans="1:4" x14ac:dyDescent="0.3">
      <c r="A48" t="s">
        <v>9</v>
      </c>
      <c r="B48" t="s">
        <v>39</v>
      </c>
      <c r="C48" s="16">
        <v>120</v>
      </c>
      <c r="D48" s="17">
        <v>102</v>
      </c>
    </row>
    <row r="49" spans="1:4" x14ac:dyDescent="0.3">
      <c r="A49" t="s">
        <v>10</v>
      </c>
      <c r="B49" t="s">
        <v>46</v>
      </c>
      <c r="C49">
        <v>6000</v>
      </c>
      <c r="D49">
        <v>5378</v>
      </c>
    </row>
    <row r="50" spans="1:4" x14ac:dyDescent="0.3">
      <c r="A50" t="s">
        <v>10</v>
      </c>
      <c r="B50" t="s">
        <v>47</v>
      </c>
    </row>
    <row r="51" spans="1:4" x14ac:dyDescent="0.3">
      <c r="A51" t="s">
        <v>10</v>
      </c>
      <c r="B51" t="s">
        <v>48</v>
      </c>
    </row>
    <row r="52" spans="1:4" x14ac:dyDescent="0.3">
      <c r="A52" t="s">
        <v>10</v>
      </c>
      <c r="B52" t="s">
        <v>49</v>
      </c>
      <c r="C52">
        <f>1000+200+300</f>
        <v>1500</v>
      </c>
      <c r="D52">
        <f>819+43+110</f>
        <v>972</v>
      </c>
    </row>
    <row r="53" spans="1:4" x14ac:dyDescent="0.3">
      <c r="A53" t="s">
        <v>10</v>
      </c>
      <c r="B53" t="s">
        <v>50</v>
      </c>
      <c r="C53" s="4">
        <v>3468</v>
      </c>
      <c r="D53" s="5">
        <v>6009</v>
      </c>
    </row>
    <row r="54" spans="1:4" x14ac:dyDescent="0.3">
      <c r="A54" t="s">
        <v>10</v>
      </c>
      <c r="B54" t="s">
        <v>51</v>
      </c>
      <c r="C54" s="2">
        <v>174</v>
      </c>
      <c r="D54" s="3">
        <v>185</v>
      </c>
    </row>
    <row r="55" spans="1:4" x14ac:dyDescent="0.3">
      <c r="A55" t="s">
        <v>10</v>
      </c>
      <c r="B55" t="s">
        <v>52</v>
      </c>
      <c r="C55">
        <v>2622</v>
      </c>
      <c r="D55">
        <v>5019</v>
      </c>
    </row>
    <row r="56" spans="1:4" x14ac:dyDescent="0.3">
      <c r="A56" t="s">
        <v>10</v>
      </c>
      <c r="B56" t="s">
        <v>53</v>
      </c>
      <c r="C56">
        <v>2075</v>
      </c>
      <c r="D56">
        <v>394</v>
      </c>
    </row>
    <row r="57" spans="1:4" x14ac:dyDescent="0.3">
      <c r="A57" t="s">
        <v>10</v>
      </c>
      <c r="B57" t="s">
        <v>54</v>
      </c>
      <c r="C57" s="7">
        <v>213</v>
      </c>
      <c r="D57" s="7">
        <v>5</v>
      </c>
    </row>
    <row r="58" spans="1:4" x14ac:dyDescent="0.3">
      <c r="A58" t="s">
        <v>10</v>
      </c>
      <c r="B58" t="s">
        <v>55</v>
      </c>
      <c r="C58">
        <v>521</v>
      </c>
      <c r="D58">
        <v>137</v>
      </c>
    </row>
    <row r="59" spans="1:4" x14ac:dyDescent="0.3">
      <c r="A59" t="s">
        <v>10</v>
      </c>
      <c r="B59" t="s">
        <v>56</v>
      </c>
      <c r="C59">
        <f>120+212+23+47</f>
        <v>402</v>
      </c>
      <c r="D59">
        <f>9+119+42+4</f>
        <v>174</v>
      </c>
    </row>
    <row r="60" spans="1:4" x14ac:dyDescent="0.3">
      <c r="A60" t="s">
        <v>10</v>
      </c>
      <c r="B60" t="s">
        <v>57</v>
      </c>
      <c r="C60" s="12">
        <v>260</v>
      </c>
      <c r="D60" s="15">
        <v>355</v>
      </c>
    </row>
    <row r="61" spans="1:4" x14ac:dyDescent="0.3">
      <c r="A61" t="s">
        <v>10</v>
      </c>
      <c r="B61" t="s">
        <v>58</v>
      </c>
      <c r="C61" s="12">
        <v>124</v>
      </c>
      <c r="D61" s="15">
        <v>26</v>
      </c>
    </row>
    <row r="62" spans="1:4" x14ac:dyDescent="0.3">
      <c r="A62" t="s">
        <v>10</v>
      </c>
      <c r="B62" t="s">
        <v>59</v>
      </c>
      <c r="C62">
        <v>50</v>
      </c>
      <c r="D62">
        <v>20</v>
      </c>
    </row>
    <row r="63" spans="1:4" x14ac:dyDescent="0.3">
      <c r="A63" t="s">
        <v>10</v>
      </c>
      <c r="B63" t="s">
        <v>60</v>
      </c>
      <c r="C63" s="16">
        <v>140</v>
      </c>
      <c r="D63" s="17">
        <v>114</v>
      </c>
    </row>
    <row r="64" spans="1:4" x14ac:dyDescent="0.3">
      <c r="A64" t="s">
        <v>10</v>
      </c>
      <c r="B64" t="s">
        <v>61</v>
      </c>
      <c r="C64" s="16">
        <v>45</v>
      </c>
      <c r="D64" s="17">
        <v>0</v>
      </c>
    </row>
    <row r="65" spans="1:4" x14ac:dyDescent="0.3">
      <c r="A65" t="s">
        <v>10</v>
      </c>
      <c r="B65" t="s">
        <v>62</v>
      </c>
      <c r="C65">
        <v>32</v>
      </c>
      <c r="D65">
        <v>27</v>
      </c>
    </row>
    <row r="66" spans="1:4" x14ac:dyDescent="0.3">
      <c r="A66" t="s">
        <v>11</v>
      </c>
      <c r="B66" t="s">
        <v>63</v>
      </c>
      <c r="C66" s="4">
        <v>3552</v>
      </c>
      <c r="D66" s="5">
        <v>3450</v>
      </c>
    </row>
    <row r="67" spans="1:4" x14ac:dyDescent="0.3">
      <c r="A67" t="s">
        <v>11</v>
      </c>
      <c r="B67" t="s">
        <v>64</v>
      </c>
      <c r="C67" s="4">
        <v>4332</v>
      </c>
      <c r="D67" s="4">
        <v>3998</v>
      </c>
    </row>
    <row r="68" spans="1:4" x14ac:dyDescent="0.3">
      <c r="A68" t="s">
        <v>11</v>
      </c>
      <c r="B68" t="s">
        <v>65</v>
      </c>
      <c r="C68" s="2">
        <v>164</v>
      </c>
      <c r="D68" s="3">
        <v>195</v>
      </c>
    </row>
    <row r="69" spans="1:4" x14ac:dyDescent="0.3">
      <c r="A69" t="s">
        <v>11</v>
      </c>
      <c r="B69" t="s">
        <v>66</v>
      </c>
      <c r="C69" s="2">
        <v>4182</v>
      </c>
      <c r="D69" s="3">
        <v>5365</v>
      </c>
    </row>
    <row r="70" spans="1:4" x14ac:dyDescent="0.3">
      <c r="A70" t="s">
        <v>11</v>
      </c>
      <c r="B70" t="s">
        <v>67</v>
      </c>
      <c r="C70">
        <v>660</v>
      </c>
      <c r="D70">
        <v>953</v>
      </c>
    </row>
    <row r="71" spans="1:4" x14ac:dyDescent="0.3">
      <c r="A71" t="s">
        <v>11</v>
      </c>
      <c r="B71" t="s">
        <v>68</v>
      </c>
      <c r="C71" s="7">
        <v>68</v>
      </c>
      <c r="D71" s="7">
        <v>33</v>
      </c>
    </row>
    <row r="72" spans="1:4" x14ac:dyDescent="0.3">
      <c r="A72" t="s">
        <v>11</v>
      </c>
      <c r="B72" t="s">
        <v>69</v>
      </c>
      <c r="C72">
        <v>1006</v>
      </c>
      <c r="D72">
        <v>827</v>
      </c>
    </row>
    <row r="73" spans="1:4" x14ac:dyDescent="0.3">
      <c r="A73" t="s">
        <v>11</v>
      </c>
      <c r="B73" t="s">
        <v>70</v>
      </c>
      <c r="C73">
        <f>108+602+9+83</f>
        <v>802</v>
      </c>
      <c r="D73">
        <f>169+566+11+22</f>
        <v>768</v>
      </c>
    </row>
    <row r="74" spans="1:4" x14ac:dyDescent="0.3">
      <c r="A74" t="s">
        <v>11</v>
      </c>
      <c r="B74" t="s">
        <v>71</v>
      </c>
      <c r="C74" s="12">
        <v>395</v>
      </c>
      <c r="D74" s="12">
        <v>577</v>
      </c>
    </row>
    <row r="75" spans="1:4" x14ac:dyDescent="0.3">
      <c r="A75" t="s">
        <v>11</v>
      </c>
      <c r="B75" t="s">
        <v>72</v>
      </c>
      <c r="C75" s="12">
        <v>87</v>
      </c>
      <c r="D75" s="13">
        <v>31</v>
      </c>
    </row>
    <row r="76" spans="1:4" x14ac:dyDescent="0.3">
      <c r="A76" t="s">
        <v>11</v>
      </c>
      <c r="B76" t="s">
        <v>73</v>
      </c>
      <c r="C76">
        <v>105</v>
      </c>
      <c r="D76">
        <v>88</v>
      </c>
    </row>
    <row r="77" spans="1:4" x14ac:dyDescent="0.3">
      <c r="A77" t="s">
        <v>11</v>
      </c>
      <c r="B77" t="s">
        <v>74</v>
      </c>
      <c r="C77" s="16">
        <v>240</v>
      </c>
      <c r="D77" s="18">
        <v>296</v>
      </c>
    </row>
    <row r="78" spans="1:4" x14ac:dyDescent="0.3">
      <c r="A78" t="s">
        <v>11</v>
      </c>
      <c r="B78" t="s">
        <v>75</v>
      </c>
      <c r="C78" s="16">
        <v>64</v>
      </c>
      <c r="D78" s="17">
        <v>8</v>
      </c>
    </row>
    <row r="79" spans="1:4" x14ac:dyDescent="0.3">
      <c r="A79" t="s">
        <v>11</v>
      </c>
      <c r="B79" t="s">
        <v>76</v>
      </c>
      <c r="C79">
        <v>404</v>
      </c>
      <c r="D79">
        <v>197</v>
      </c>
    </row>
    <row r="80" spans="1:4" x14ac:dyDescent="0.3">
      <c r="A80" t="s">
        <v>12</v>
      </c>
      <c r="B80" t="s">
        <v>77</v>
      </c>
      <c r="C80" s="2">
        <v>339</v>
      </c>
      <c r="D80" s="3">
        <v>202</v>
      </c>
    </row>
  </sheetData>
  <conditionalFormatting sqref="B1:B1048576">
    <cfRule type="containsText" dxfId="2" priority="2" operator="containsText" text="eng">
      <formula>NOT(ISERROR(SEARCH("eng",B1)))</formula>
    </cfRule>
  </conditionalFormatting>
  <conditionalFormatting sqref="A1:A1048576">
    <cfRule type="containsText" dxfId="3" priority="1" operator="containsText" text="Sing">
      <formula>NOT(ISERROR(SEARCH("Sing",A1)))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Ying Xuan Lim</cp:lastModifiedBy>
  <dcterms:created xsi:type="dcterms:W3CDTF">2025-11-18T05:56:13Z</dcterms:created>
  <dcterms:modified xsi:type="dcterms:W3CDTF">2025-11-18T11:51:32Z</dcterms:modified>
</cp:coreProperties>
</file>