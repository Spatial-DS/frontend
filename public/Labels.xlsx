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65915\Desktop\SDS\NLB update\NLB new\Latest Folder\"/>
    </mc:Choice>
  </mc:AlternateContent>
  <xr:revisionPtr revIDLastSave="0" documentId="13_ncr:1_{C8D7B1ED-AD2A-48DC-A0F8-7397DD748E09}" xr6:coauthVersionLast="47" xr6:coauthVersionMax="47" xr10:uidLastSave="{00000000-0000-0000-0000-000000000000}"/>
  <bookViews>
    <workbookView xWindow="-108" yWindow="-108" windowWidth="23256" windowHeight="12456" xr2:uid="{FB25A30A-3EE2-4C98-898D-741470407AD2}"/>
  </bookViews>
  <sheets>
    <sheet name="filters" sheetId="2" r:id="rId1"/>
    <sheet name="shelf run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 a="1"/>
  <c r="A1" i="1" s="1"/>
  <c r="C83" i="1"/>
  <c r="C82" i="1"/>
  <c r="C81" i="1"/>
  <c r="C80" i="1"/>
  <c r="C79" i="1"/>
  <c r="C78" i="1"/>
  <c r="C76" i="1"/>
  <c r="C75" i="1"/>
  <c r="C74" i="1"/>
  <c r="C73" i="1"/>
  <c r="C72" i="1"/>
  <c r="C70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2" i="1"/>
  <c r="C51" i="1"/>
  <c r="C50" i="1"/>
  <c r="C49" i="1"/>
  <c r="C48" i="1"/>
  <c r="C47" i="1"/>
  <c r="C46" i="1"/>
  <c r="C45" i="1"/>
  <c r="C28" i="1"/>
  <c r="C26" i="1"/>
  <c r="C25" i="1"/>
  <c r="C24" i="1"/>
  <c r="C23" i="1"/>
  <c r="C22" i="1"/>
  <c r="C20" i="1"/>
  <c r="C9" i="1"/>
  <c r="C8" i="1"/>
  <c r="C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<sst xmlns="http://schemas.openxmlformats.org/spreadsheetml/2006/main" count="552" uniqueCount="92">
  <si>
    <t>Category</t>
  </si>
  <si>
    <t>Sub category</t>
  </si>
  <si>
    <t>Avg Vol per m</t>
  </si>
  <si>
    <t>Item Language</t>
  </si>
  <si>
    <t>Item Age Lvl</t>
  </si>
  <si>
    <t>Item Fiction Tag</t>
  </si>
  <si>
    <t>Item Subject Suffix</t>
  </si>
  <si>
    <t>Item DDC Class</t>
  </si>
  <si>
    <t>Item Collection Code</t>
  </si>
  <si>
    <t>Adult's Fiction</t>
  </si>
  <si>
    <t>English</t>
  </si>
  <si>
    <t>Chinese</t>
  </si>
  <si>
    <t>Malay</t>
  </si>
  <si>
    <t>Tamil</t>
  </si>
  <si>
    <t>Young People's Fiction</t>
  </si>
  <si>
    <t>FAM</t>
  </si>
  <si>
    <t>A</t>
  </si>
  <si>
    <t>Yes</t>
  </si>
  <si>
    <t>NSIN or OTH</t>
  </si>
  <si>
    <t>No</t>
  </si>
  <si>
    <t>000</t>
  </si>
  <si>
    <t>ART</t>
  </si>
  <si>
    <t>BIZ</t>
  </si>
  <si>
    <t>COM</t>
  </si>
  <si>
    <t>COO</t>
  </si>
  <si>
    <t>CMX</t>
  </si>
  <si>
    <t>HEA</t>
  </si>
  <si>
    <t>REC</t>
  </si>
  <si>
    <t>TRA</t>
  </si>
  <si>
    <t>SING</t>
  </si>
  <si>
    <t>J</t>
  </si>
  <si>
    <t>JP</t>
  </si>
  <si>
    <t>BA</t>
  </si>
  <si>
    <t>FOL</t>
  </si>
  <si>
    <t>HAN or BIL</t>
  </si>
  <si>
    <t>JS</t>
  </si>
  <si>
    <t>Adult's Non-Fiction</t>
  </si>
  <si>
    <t>English (000)</t>
  </si>
  <si>
    <t>English (100)</t>
  </si>
  <si>
    <t>English (200)</t>
  </si>
  <si>
    <t>English (300)</t>
  </si>
  <si>
    <t>English (400)</t>
  </si>
  <si>
    <t>English (500)</t>
  </si>
  <si>
    <t>English (600)</t>
  </si>
  <si>
    <t>English (700)</t>
  </si>
  <si>
    <t>English (800)</t>
  </si>
  <si>
    <t>English (900)</t>
  </si>
  <si>
    <t>English (ART)</t>
  </si>
  <si>
    <t>English (BIZ)</t>
  </si>
  <si>
    <t>English (COM)</t>
  </si>
  <si>
    <t>English (COO)</t>
  </si>
  <si>
    <t>English (FAM)</t>
  </si>
  <si>
    <t>English (HEA)</t>
  </si>
  <si>
    <t>English (REC)</t>
  </si>
  <si>
    <t>English (TRA)</t>
  </si>
  <si>
    <t>English (CMX)</t>
  </si>
  <si>
    <t>English (000 to 900)</t>
  </si>
  <si>
    <t>Chinese (000 to 900)</t>
  </si>
  <si>
    <t>Malay (000 to 900)</t>
  </si>
  <si>
    <t>Tamil (000 to 900)</t>
  </si>
  <si>
    <t>MTL</t>
  </si>
  <si>
    <t>English (Folktales)</t>
  </si>
  <si>
    <t>Chinese (Folktales)</t>
  </si>
  <si>
    <t>Chinese (HAN/BIL)</t>
  </si>
  <si>
    <t>Malay (Folktales)</t>
  </si>
  <si>
    <t>Tamil (Folktales)</t>
  </si>
  <si>
    <t xml:space="preserve">Chinese </t>
  </si>
  <si>
    <t>Chinese or Malay or Tamil</t>
  </si>
  <si>
    <t>No. of Tiers</t>
  </si>
  <si>
    <t>NOT IN: ART, BIZ, COM, COO, CMX, HEA, REC, TRA,FAM</t>
  </si>
  <si>
    <t>NOT IN:  CMX</t>
  </si>
  <si>
    <t>NOT IN: HAN, BIL</t>
  </si>
  <si>
    <t>NOT IN: FOL</t>
  </si>
  <si>
    <t>Chinese (FAM)</t>
  </si>
  <si>
    <t>NOT IN: FAM</t>
  </si>
  <si>
    <t>Malay (FAM)</t>
  </si>
  <si>
    <t>Tamil (FAM)</t>
  </si>
  <si>
    <t>NOT IN: HAN, BIL,FOL</t>
  </si>
  <si>
    <t>Y</t>
  </si>
  <si>
    <t>A or Y</t>
  </si>
  <si>
    <t xml:space="preserve">Adult &amp; Young People's Non-Fiction </t>
  </si>
  <si>
    <t>Young People's Non-Fiction</t>
  </si>
  <si>
    <t>Adult &amp; Young People's Fiction (Singapore)</t>
  </si>
  <si>
    <t>Adult &amp; Young People's Non-Fiction (Singapore)</t>
  </si>
  <si>
    <t>Children's Fiction (Singapore)</t>
  </si>
  <si>
    <t>Children's Non-Fiction (Singapore)</t>
  </si>
  <si>
    <t>Children's Collection (Early Literacy - Baby)</t>
  </si>
  <si>
    <t>Children's Fiction (Early Literacy - Picture Books)</t>
  </si>
  <si>
    <t>Children's Non-Fiction (Early Literacy - Picture Books)</t>
  </si>
  <si>
    <t>Children's Fiction (Junior Simple)</t>
  </si>
  <si>
    <t>Children's Fiction (Juvenile)</t>
  </si>
  <si>
    <t>Children's Non-Fiction (Juvenile)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</si>
</sst>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rgb="FF000000"/>
      <name val="Segoe UI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/>
    <xf numFmtId="49" fontId="0" fillId="0" borderId="0" xfId="0" quotePrefix="1" applyNumberFormat="1"/>
    <xf numFmtId="164" fontId="0" fillId="0" borderId="0" xfId="0" applyNumberFormat="1" applyAlignment="1">
      <alignment vertical="center" wrapText="1"/>
    </xf>
    <xf numFmtId="164" fontId="0" fillId="2" borderId="0" xfId="0" applyNumberFormat="1" applyFill="1" applyAlignment="1">
      <alignment vertical="center" wrapText="1"/>
    </xf>
    <xf numFmtId="164" fontId="0" fillId="0" borderId="0" xfId="0" applyNumberFormat="1"/>
    <xf numFmtId="0" fontId="1" fillId="0" borderId="0" xfId="0" applyFont="1"/>
    <xf numFmtId="0" fontId="0" fillId="0" borderId="0" xfId="0" quotePrefix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16825-3479-45E5-94FA-6066A39B4405}">
  <dimension ref="A1:H83"/>
  <sheetViews>
    <sheetView tabSelected="1" topLeftCell="A58" zoomScale="71" workbookViewId="0">
      <selection activeCell="F83" sqref="F83"/>
    </sheetView>
  </sheetViews>
  <sheetFormatPr defaultRowHeight="14.4" x14ac:dyDescent="0.3"/>
  <cols>
    <col min="1" max="1" width="45.109375" customWidth="1"/>
    <col min="2" max="2" width="22.21875" customWidth="1"/>
    <col min="3" max="3" width="12.5546875" bestFit="1" customWidth="1"/>
    <col min="4" max="4" width="7.88671875" customWidth="1"/>
    <col min="5" max="5" width="12.21875" customWidth="1"/>
    <col min="6" max="6" width="53.33203125" customWidth="1"/>
    <col min="7" max="7" width="35.44140625" style="1" customWidth="1"/>
    <col min="8" max="8" width="11.88671875" customWidth="1"/>
  </cols>
  <sheetData>
    <row r="1" spans="1:8" x14ac:dyDescent="0.3">
      <c r="A1" t="s">
        <v>0</v>
      </c>
      <c r="B1" t="s">
        <v>1</v>
      </c>
      <c r="C1" t="s">
        <v>3</v>
      </c>
      <c r="D1" t="s">
        <v>4</v>
      </c>
      <c r="E1" t="s">
        <v>5</v>
      </c>
      <c r="F1" t="s">
        <v>6</v>
      </c>
      <c r="G1" s="1" t="s">
        <v>7</v>
      </c>
      <c r="H1" t="s">
        <v>8</v>
      </c>
    </row>
    <row r="2" spans="1:8" x14ac:dyDescent="0.3">
      <c r="A2" t="s">
        <v>9</v>
      </c>
      <c r="B2" t="s">
        <v>10</v>
      </c>
      <c r="C2" t="s">
        <v>10</v>
      </c>
      <c r="D2" t="s">
        <v>16</v>
      </c>
      <c r="E2" t="s">
        <v>17</v>
      </c>
      <c r="H2" t="s">
        <v>18</v>
      </c>
    </row>
    <row r="3" spans="1:8" x14ac:dyDescent="0.3">
      <c r="A3" t="s">
        <v>9</v>
      </c>
      <c r="B3" t="s">
        <v>11</v>
      </c>
      <c r="C3" t="s">
        <v>11</v>
      </c>
      <c r="D3" t="s">
        <v>16</v>
      </c>
      <c r="E3" t="s">
        <v>17</v>
      </c>
      <c r="H3" t="s">
        <v>18</v>
      </c>
    </row>
    <row r="4" spans="1:8" x14ac:dyDescent="0.3">
      <c r="A4" t="s">
        <v>9</v>
      </c>
      <c r="B4" t="s">
        <v>12</v>
      </c>
      <c r="C4" t="s">
        <v>12</v>
      </c>
      <c r="D4" t="s">
        <v>16</v>
      </c>
      <c r="E4" t="s">
        <v>17</v>
      </c>
      <c r="H4" t="s">
        <v>18</v>
      </c>
    </row>
    <row r="5" spans="1:8" x14ac:dyDescent="0.3">
      <c r="A5" t="s">
        <v>9</v>
      </c>
      <c r="B5" t="s">
        <v>13</v>
      </c>
      <c r="C5" t="s">
        <v>13</v>
      </c>
      <c r="D5" t="s">
        <v>16</v>
      </c>
      <c r="E5" t="s">
        <v>17</v>
      </c>
      <c r="H5" t="s">
        <v>18</v>
      </c>
    </row>
    <row r="6" spans="1:8" x14ac:dyDescent="0.3">
      <c r="A6" t="s">
        <v>14</v>
      </c>
      <c r="B6" t="s">
        <v>10</v>
      </c>
      <c r="C6" t="s">
        <v>10</v>
      </c>
      <c r="D6" t="s">
        <v>78</v>
      </c>
      <c r="E6" t="s">
        <v>17</v>
      </c>
      <c r="H6" t="s">
        <v>18</v>
      </c>
    </row>
    <row r="7" spans="1:8" x14ac:dyDescent="0.3">
      <c r="A7" t="s">
        <v>14</v>
      </c>
      <c r="B7" t="s">
        <v>11</v>
      </c>
      <c r="C7" t="s">
        <v>11</v>
      </c>
      <c r="D7" t="s">
        <v>78</v>
      </c>
      <c r="E7" t="s">
        <v>17</v>
      </c>
      <c r="H7" t="s">
        <v>18</v>
      </c>
    </row>
    <row r="8" spans="1:8" x14ac:dyDescent="0.3">
      <c r="A8" t="s">
        <v>14</v>
      </c>
      <c r="B8" t="s">
        <v>12</v>
      </c>
      <c r="C8" t="s">
        <v>12</v>
      </c>
      <c r="D8" t="s">
        <v>78</v>
      </c>
      <c r="E8" t="s">
        <v>17</v>
      </c>
      <c r="H8" t="s">
        <v>18</v>
      </c>
    </row>
    <row r="9" spans="1:8" x14ac:dyDescent="0.3">
      <c r="A9" t="s">
        <v>14</v>
      </c>
      <c r="B9" t="s">
        <v>13</v>
      </c>
      <c r="C9" t="s">
        <v>13</v>
      </c>
      <c r="D9" t="s">
        <v>78</v>
      </c>
      <c r="E9" t="s">
        <v>17</v>
      </c>
      <c r="H9" t="s">
        <v>18</v>
      </c>
    </row>
    <row r="10" spans="1:8" x14ac:dyDescent="0.3">
      <c r="A10" t="s">
        <v>36</v>
      </c>
      <c r="B10" t="s">
        <v>37</v>
      </c>
      <c r="C10" t="s">
        <v>10</v>
      </c>
      <c r="D10" t="s">
        <v>16</v>
      </c>
      <c r="E10" t="s">
        <v>19</v>
      </c>
      <c r="F10" t="s">
        <v>69</v>
      </c>
      <c r="G10" s="2" t="s">
        <v>20</v>
      </c>
      <c r="H10" t="s">
        <v>18</v>
      </c>
    </row>
    <row r="11" spans="1:8" x14ac:dyDescent="0.3">
      <c r="A11" t="s">
        <v>36</v>
      </c>
      <c r="B11" t="s">
        <v>38</v>
      </c>
      <c r="C11" t="s">
        <v>10</v>
      </c>
      <c r="D11" t="s">
        <v>16</v>
      </c>
      <c r="E11" t="s">
        <v>19</v>
      </c>
      <c r="F11" t="s">
        <v>69</v>
      </c>
      <c r="G11" s="1">
        <v>100</v>
      </c>
      <c r="H11" t="s">
        <v>18</v>
      </c>
    </row>
    <row r="12" spans="1:8" x14ac:dyDescent="0.3">
      <c r="A12" t="s">
        <v>36</v>
      </c>
      <c r="B12" t="s">
        <v>39</v>
      </c>
      <c r="C12" t="s">
        <v>10</v>
      </c>
      <c r="D12" t="s">
        <v>16</v>
      </c>
      <c r="E12" t="s">
        <v>19</v>
      </c>
      <c r="F12" t="s">
        <v>69</v>
      </c>
      <c r="G12" s="1">
        <v>200</v>
      </c>
      <c r="H12" t="s">
        <v>18</v>
      </c>
    </row>
    <row r="13" spans="1:8" x14ac:dyDescent="0.3">
      <c r="A13" t="s">
        <v>36</v>
      </c>
      <c r="B13" t="s">
        <v>40</v>
      </c>
      <c r="C13" t="s">
        <v>10</v>
      </c>
      <c r="D13" t="s">
        <v>16</v>
      </c>
      <c r="E13" t="s">
        <v>19</v>
      </c>
      <c r="F13" t="s">
        <v>69</v>
      </c>
      <c r="G13" s="1">
        <v>300</v>
      </c>
      <c r="H13" t="s">
        <v>18</v>
      </c>
    </row>
    <row r="14" spans="1:8" x14ac:dyDescent="0.3">
      <c r="A14" t="s">
        <v>36</v>
      </c>
      <c r="B14" t="s">
        <v>41</v>
      </c>
      <c r="C14" t="s">
        <v>10</v>
      </c>
      <c r="D14" t="s">
        <v>16</v>
      </c>
      <c r="E14" t="s">
        <v>19</v>
      </c>
      <c r="F14" t="s">
        <v>69</v>
      </c>
      <c r="G14" s="1">
        <v>400</v>
      </c>
      <c r="H14" t="s">
        <v>18</v>
      </c>
    </row>
    <row r="15" spans="1:8" x14ac:dyDescent="0.3">
      <c r="A15" t="s">
        <v>36</v>
      </c>
      <c r="B15" t="s">
        <v>42</v>
      </c>
      <c r="C15" t="s">
        <v>10</v>
      </c>
      <c r="D15" t="s">
        <v>16</v>
      </c>
      <c r="E15" t="s">
        <v>19</v>
      </c>
      <c r="F15" t="s">
        <v>69</v>
      </c>
      <c r="G15" s="1">
        <v>500</v>
      </c>
      <c r="H15" t="s">
        <v>18</v>
      </c>
    </row>
    <row r="16" spans="1:8" x14ac:dyDescent="0.3">
      <c r="A16" t="s">
        <v>36</v>
      </c>
      <c r="B16" t="s">
        <v>43</v>
      </c>
      <c r="C16" t="s">
        <v>10</v>
      </c>
      <c r="D16" t="s">
        <v>16</v>
      </c>
      <c r="E16" t="s">
        <v>19</v>
      </c>
      <c r="F16" t="s">
        <v>69</v>
      </c>
      <c r="G16" s="1">
        <v>600</v>
      </c>
      <c r="H16" t="s">
        <v>18</v>
      </c>
    </row>
    <row r="17" spans="1:8" x14ac:dyDescent="0.3">
      <c r="A17" t="s">
        <v>36</v>
      </c>
      <c r="B17" t="s">
        <v>44</v>
      </c>
      <c r="C17" t="s">
        <v>10</v>
      </c>
      <c r="D17" t="s">
        <v>16</v>
      </c>
      <c r="E17" t="s">
        <v>19</v>
      </c>
      <c r="F17" t="s">
        <v>69</v>
      </c>
      <c r="G17" s="1">
        <v>700</v>
      </c>
      <c r="H17" t="s">
        <v>18</v>
      </c>
    </row>
    <row r="18" spans="1:8" x14ac:dyDescent="0.3">
      <c r="A18" t="s">
        <v>36</v>
      </c>
      <c r="B18" t="s">
        <v>45</v>
      </c>
      <c r="C18" t="s">
        <v>10</v>
      </c>
      <c r="D18" t="s">
        <v>16</v>
      </c>
      <c r="E18" t="s">
        <v>19</v>
      </c>
      <c r="F18" t="s">
        <v>69</v>
      </c>
      <c r="G18" s="1">
        <v>800</v>
      </c>
      <c r="H18" t="s">
        <v>18</v>
      </c>
    </row>
    <row r="19" spans="1:8" x14ac:dyDescent="0.3">
      <c r="A19" t="s">
        <v>36</v>
      </c>
      <c r="B19" t="s">
        <v>46</v>
      </c>
      <c r="C19" t="s">
        <v>10</v>
      </c>
      <c r="D19" t="s">
        <v>16</v>
      </c>
      <c r="E19" t="s">
        <v>19</v>
      </c>
      <c r="F19" t="s">
        <v>69</v>
      </c>
      <c r="G19" s="1">
        <v>900</v>
      </c>
      <c r="H19" t="s">
        <v>18</v>
      </c>
    </row>
    <row r="20" spans="1:8" x14ac:dyDescent="0.3">
      <c r="A20" t="s">
        <v>36</v>
      </c>
      <c r="B20" t="s">
        <v>47</v>
      </c>
      <c r="C20" t="s">
        <v>10</v>
      </c>
      <c r="D20" t="s">
        <v>16</v>
      </c>
      <c r="E20" t="s">
        <v>19</v>
      </c>
      <c r="F20" t="s">
        <v>21</v>
      </c>
      <c r="H20" t="s">
        <v>18</v>
      </c>
    </row>
    <row r="21" spans="1:8" x14ac:dyDescent="0.3">
      <c r="A21" t="s">
        <v>36</v>
      </c>
      <c r="B21" t="s">
        <v>48</v>
      </c>
      <c r="C21" t="s">
        <v>10</v>
      </c>
      <c r="D21" t="s">
        <v>16</v>
      </c>
      <c r="E21" t="s">
        <v>19</v>
      </c>
      <c r="F21" t="s">
        <v>22</v>
      </c>
      <c r="H21" t="s">
        <v>18</v>
      </c>
    </row>
    <row r="22" spans="1:8" x14ac:dyDescent="0.3">
      <c r="A22" t="s">
        <v>36</v>
      </c>
      <c r="B22" t="s">
        <v>49</v>
      </c>
      <c r="C22" t="s">
        <v>10</v>
      </c>
      <c r="D22" t="s">
        <v>16</v>
      </c>
      <c r="E22" t="s">
        <v>19</v>
      </c>
      <c r="F22" t="s">
        <v>23</v>
      </c>
      <c r="H22" t="s">
        <v>18</v>
      </c>
    </row>
    <row r="23" spans="1:8" x14ac:dyDescent="0.3">
      <c r="A23" t="s">
        <v>36</v>
      </c>
      <c r="B23" t="s">
        <v>50</v>
      </c>
      <c r="C23" t="s">
        <v>10</v>
      </c>
      <c r="D23" t="s">
        <v>16</v>
      </c>
      <c r="E23" t="s">
        <v>19</v>
      </c>
      <c r="F23" t="s">
        <v>24</v>
      </c>
      <c r="H23" t="s">
        <v>18</v>
      </c>
    </row>
    <row r="24" spans="1:8" x14ac:dyDescent="0.3">
      <c r="A24" t="s">
        <v>36</v>
      </c>
      <c r="B24" t="s">
        <v>51</v>
      </c>
      <c r="C24" t="s">
        <v>10</v>
      </c>
      <c r="D24" t="s">
        <v>16</v>
      </c>
      <c r="E24" t="s">
        <v>19</v>
      </c>
      <c r="F24" t="s">
        <v>15</v>
      </c>
      <c r="H24" t="s">
        <v>18</v>
      </c>
    </row>
    <row r="25" spans="1:8" x14ac:dyDescent="0.3">
      <c r="A25" t="s">
        <v>36</v>
      </c>
      <c r="B25" t="s">
        <v>52</v>
      </c>
      <c r="C25" t="s">
        <v>10</v>
      </c>
      <c r="D25" t="s">
        <v>16</v>
      </c>
      <c r="E25" t="s">
        <v>19</v>
      </c>
      <c r="F25" t="s">
        <v>26</v>
      </c>
      <c r="H25" t="s">
        <v>18</v>
      </c>
    </row>
    <row r="26" spans="1:8" x14ac:dyDescent="0.3">
      <c r="A26" t="s">
        <v>36</v>
      </c>
      <c r="B26" t="s">
        <v>53</v>
      </c>
      <c r="C26" t="s">
        <v>10</v>
      </c>
      <c r="D26" t="s">
        <v>16</v>
      </c>
      <c r="E26" t="s">
        <v>19</v>
      </c>
      <c r="F26" t="s">
        <v>27</v>
      </c>
      <c r="H26" t="s">
        <v>18</v>
      </c>
    </row>
    <row r="27" spans="1:8" x14ac:dyDescent="0.3">
      <c r="A27" t="s">
        <v>36</v>
      </c>
      <c r="B27" t="s">
        <v>54</v>
      </c>
      <c r="C27" t="s">
        <v>10</v>
      </c>
      <c r="D27" t="s">
        <v>16</v>
      </c>
      <c r="E27" t="s">
        <v>19</v>
      </c>
      <c r="F27" t="s">
        <v>28</v>
      </c>
      <c r="H27" t="s">
        <v>18</v>
      </c>
    </row>
    <row r="28" spans="1:8" x14ac:dyDescent="0.3">
      <c r="A28" t="s">
        <v>36</v>
      </c>
      <c r="B28" t="s">
        <v>55</v>
      </c>
      <c r="C28" t="s">
        <v>10</v>
      </c>
      <c r="D28" t="s">
        <v>16</v>
      </c>
      <c r="E28" t="s">
        <v>19</v>
      </c>
      <c r="F28" t="s">
        <v>25</v>
      </c>
      <c r="H28" t="s">
        <v>18</v>
      </c>
    </row>
    <row r="29" spans="1:8" x14ac:dyDescent="0.3">
      <c r="A29" t="s">
        <v>81</v>
      </c>
      <c r="B29" t="s">
        <v>56</v>
      </c>
      <c r="C29" t="s">
        <v>10</v>
      </c>
      <c r="D29" t="s">
        <v>78</v>
      </c>
      <c r="E29" t="s">
        <v>19</v>
      </c>
      <c r="F29" t="s">
        <v>70</v>
      </c>
      <c r="H29" t="s">
        <v>18</v>
      </c>
    </row>
    <row r="30" spans="1:8" x14ac:dyDescent="0.3">
      <c r="A30" t="s">
        <v>81</v>
      </c>
      <c r="B30" t="s">
        <v>55</v>
      </c>
      <c r="C30" t="s">
        <v>10</v>
      </c>
      <c r="D30" t="s">
        <v>78</v>
      </c>
      <c r="E30" t="s">
        <v>19</v>
      </c>
      <c r="F30" t="s">
        <v>25</v>
      </c>
      <c r="H30" t="s">
        <v>18</v>
      </c>
    </row>
    <row r="31" spans="1:8" x14ac:dyDescent="0.3">
      <c r="A31" t="s">
        <v>80</v>
      </c>
      <c r="B31" t="s">
        <v>57</v>
      </c>
      <c r="C31" t="s">
        <v>11</v>
      </c>
      <c r="D31" t="s">
        <v>79</v>
      </c>
      <c r="E31" t="s">
        <v>19</v>
      </c>
      <c r="F31" t="s">
        <v>74</v>
      </c>
      <c r="H31" t="s">
        <v>18</v>
      </c>
    </row>
    <row r="32" spans="1:8" x14ac:dyDescent="0.3">
      <c r="A32" t="s">
        <v>80</v>
      </c>
      <c r="B32" t="s">
        <v>73</v>
      </c>
      <c r="C32" t="s">
        <v>11</v>
      </c>
      <c r="D32" t="s">
        <v>16</v>
      </c>
      <c r="E32" t="s">
        <v>19</v>
      </c>
      <c r="F32" t="s">
        <v>15</v>
      </c>
      <c r="H32" t="s">
        <v>18</v>
      </c>
    </row>
    <row r="33" spans="1:8" x14ac:dyDescent="0.3">
      <c r="A33" t="s">
        <v>80</v>
      </c>
      <c r="B33" t="s">
        <v>58</v>
      </c>
      <c r="C33" t="s">
        <v>12</v>
      </c>
      <c r="D33" t="s">
        <v>79</v>
      </c>
      <c r="E33" t="s">
        <v>19</v>
      </c>
      <c r="F33" t="s">
        <v>74</v>
      </c>
      <c r="H33" t="s">
        <v>18</v>
      </c>
    </row>
    <row r="34" spans="1:8" x14ac:dyDescent="0.3">
      <c r="A34" t="s">
        <v>80</v>
      </c>
      <c r="B34" t="s">
        <v>75</v>
      </c>
      <c r="C34" t="s">
        <v>12</v>
      </c>
      <c r="D34" t="s">
        <v>16</v>
      </c>
      <c r="E34" t="s">
        <v>19</v>
      </c>
      <c r="F34" t="s">
        <v>15</v>
      </c>
      <c r="H34" t="s">
        <v>18</v>
      </c>
    </row>
    <row r="35" spans="1:8" x14ac:dyDescent="0.3">
      <c r="A35" t="s">
        <v>80</v>
      </c>
      <c r="B35" t="s">
        <v>59</v>
      </c>
      <c r="C35" t="s">
        <v>13</v>
      </c>
      <c r="D35" t="s">
        <v>79</v>
      </c>
      <c r="E35" t="s">
        <v>19</v>
      </c>
      <c r="F35" t="s">
        <v>74</v>
      </c>
      <c r="H35" t="s">
        <v>18</v>
      </c>
    </row>
    <row r="36" spans="1:8" x14ac:dyDescent="0.3">
      <c r="A36" t="s">
        <v>80</v>
      </c>
      <c r="B36" t="s">
        <v>76</v>
      </c>
      <c r="C36" t="s">
        <v>13</v>
      </c>
      <c r="D36" t="s">
        <v>16</v>
      </c>
      <c r="E36" t="s">
        <v>19</v>
      </c>
      <c r="F36" t="s">
        <v>15</v>
      </c>
      <c r="H36" t="s">
        <v>18</v>
      </c>
    </row>
    <row r="37" spans="1:8" x14ac:dyDescent="0.3">
      <c r="A37" t="s">
        <v>82</v>
      </c>
      <c r="B37" t="s">
        <v>10</v>
      </c>
      <c r="C37" t="s">
        <v>10</v>
      </c>
      <c r="D37" t="s">
        <v>79</v>
      </c>
      <c r="E37" t="s">
        <v>17</v>
      </c>
      <c r="H37" t="s">
        <v>29</v>
      </c>
    </row>
    <row r="38" spans="1:8" x14ac:dyDescent="0.3">
      <c r="A38" t="s">
        <v>82</v>
      </c>
      <c r="B38" t="s">
        <v>11</v>
      </c>
      <c r="C38" t="s">
        <v>11</v>
      </c>
      <c r="D38" t="s">
        <v>79</v>
      </c>
      <c r="E38" t="s">
        <v>17</v>
      </c>
      <c r="H38" t="s">
        <v>29</v>
      </c>
    </row>
    <row r="39" spans="1:8" x14ac:dyDescent="0.3">
      <c r="A39" t="s">
        <v>82</v>
      </c>
      <c r="B39" t="s">
        <v>12</v>
      </c>
      <c r="C39" t="s">
        <v>12</v>
      </c>
      <c r="D39" t="s">
        <v>79</v>
      </c>
      <c r="E39" t="s">
        <v>17</v>
      </c>
      <c r="H39" t="s">
        <v>29</v>
      </c>
    </row>
    <row r="40" spans="1:8" x14ac:dyDescent="0.3">
      <c r="A40" t="s">
        <v>82</v>
      </c>
      <c r="B40" t="s">
        <v>13</v>
      </c>
      <c r="C40" t="s">
        <v>13</v>
      </c>
      <c r="D40" t="s">
        <v>79</v>
      </c>
      <c r="E40" t="s">
        <v>17</v>
      </c>
      <c r="H40" t="s">
        <v>29</v>
      </c>
    </row>
    <row r="41" spans="1:8" x14ac:dyDescent="0.3">
      <c r="A41" t="s">
        <v>83</v>
      </c>
      <c r="B41" t="s">
        <v>10</v>
      </c>
      <c r="C41" t="s">
        <v>10</v>
      </c>
      <c r="D41" t="s">
        <v>79</v>
      </c>
      <c r="E41" t="s">
        <v>19</v>
      </c>
      <c r="H41" t="s">
        <v>29</v>
      </c>
    </row>
    <row r="42" spans="1:8" x14ac:dyDescent="0.3">
      <c r="A42" t="s">
        <v>83</v>
      </c>
      <c r="B42" t="s">
        <v>11</v>
      </c>
      <c r="C42" t="s">
        <v>11</v>
      </c>
      <c r="D42" t="s">
        <v>79</v>
      </c>
      <c r="E42" t="s">
        <v>19</v>
      </c>
      <c r="H42" t="s">
        <v>29</v>
      </c>
    </row>
    <row r="43" spans="1:8" x14ac:dyDescent="0.3">
      <c r="A43" t="s">
        <v>83</v>
      </c>
      <c r="B43" t="s">
        <v>12</v>
      </c>
      <c r="C43" t="s">
        <v>12</v>
      </c>
      <c r="D43" t="s">
        <v>79</v>
      </c>
      <c r="E43" t="s">
        <v>19</v>
      </c>
      <c r="H43" t="s">
        <v>29</v>
      </c>
    </row>
    <row r="44" spans="1:8" x14ac:dyDescent="0.3">
      <c r="A44" t="s">
        <v>83</v>
      </c>
      <c r="B44" t="s">
        <v>13</v>
      </c>
      <c r="C44" t="s">
        <v>13</v>
      </c>
      <c r="D44" t="s">
        <v>79</v>
      </c>
      <c r="E44" t="s">
        <v>19</v>
      </c>
      <c r="H44" t="s">
        <v>29</v>
      </c>
    </row>
    <row r="45" spans="1:8" x14ac:dyDescent="0.3">
      <c r="A45" t="s">
        <v>84</v>
      </c>
      <c r="B45" t="s">
        <v>10</v>
      </c>
      <c r="C45" t="s">
        <v>10</v>
      </c>
      <c r="D45" t="s">
        <v>30</v>
      </c>
      <c r="E45" t="s">
        <v>17</v>
      </c>
      <c r="H45" t="s">
        <v>29</v>
      </c>
    </row>
    <row r="46" spans="1:8" x14ac:dyDescent="0.3">
      <c r="A46" t="s">
        <v>84</v>
      </c>
      <c r="B46" t="s">
        <v>11</v>
      </c>
      <c r="C46" t="s">
        <v>11</v>
      </c>
      <c r="D46" t="s">
        <v>30</v>
      </c>
      <c r="E46" t="s">
        <v>17</v>
      </c>
      <c r="H46" t="s">
        <v>29</v>
      </c>
    </row>
    <row r="47" spans="1:8" x14ac:dyDescent="0.3">
      <c r="A47" t="s">
        <v>84</v>
      </c>
      <c r="B47" t="s">
        <v>12</v>
      </c>
      <c r="C47" t="s">
        <v>12</v>
      </c>
      <c r="D47" t="s">
        <v>30</v>
      </c>
      <c r="E47" t="s">
        <v>17</v>
      </c>
      <c r="H47" t="s">
        <v>29</v>
      </c>
    </row>
    <row r="48" spans="1:8" x14ac:dyDescent="0.3">
      <c r="A48" t="s">
        <v>84</v>
      </c>
      <c r="B48" t="s">
        <v>13</v>
      </c>
      <c r="C48" t="s">
        <v>13</v>
      </c>
      <c r="D48" t="s">
        <v>30</v>
      </c>
      <c r="E48" t="s">
        <v>17</v>
      </c>
      <c r="H48" t="s">
        <v>29</v>
      </c>
    </row>
    <row r="49" spans="1:8" x14ac:dyDescent="0.3">
      <c r="A49" t="s">
        <v>85</v>
      </c>
      <c r="B49" t="s">
        <v>10</v>
      </c>
      <c r="C49" t="s">
        <v>10</v>
      </c>
      <c r="D49" t="s">
        <v>30</v>
      </c>
      <c r="E49" t="s">
        <v>19</v>
      </c>
      <c r="H49" t="s">
        <v>29</v>
      </c>
    </row>
    <row r="50" spans="1:8" x14ac:dyDescent="0.3">
      <c r="A50" t="s">
        <v>85</v>
      </c>
      <c r="B50" t="s">
        <v>11</v>
      </c>
      <c r="C50" t="s">
        <v>11</v>
      </c>
      <c r="D50" t="s">
        <v>30</v>
      </c>
      <c r="E50" t="s">
        <v>19</v>
      </c>
      <c r="H50" t="s">
        <v>29</v>
      </c>
    </row>
    <row r="51" spans="1:8" x14ac:dyDescent="0.3">
      <c r="A51" t="s">
        <v>85</v>
      </c>
      <c r="B51" t="s">
        <v>12</v>
      </c>
      <c r="C51" t="s">
        <v>12</v>
      </c>
      <c r="D51" t="s">
        <v>30</v>
      </c>
      <c r="E51" t="s">
        <v>19</v>
      </c>
      <c r="H51" t="s">
        <v>29</v>
      </c>
    </row>
    <row r="52" spans="1:8" x14ac:dyDescent="0.3">
      <c r="A52" t="s">
        <v>85</v>
      </c>
      <c r="B52" t="s">
        <v>13</v>
      </c>
      <c r="C52" t="s">
        <v>13</v>
      </c>
      <c r="D52" t="s">
        <v>30</v>
      </c>
      <c r="E52" t="s">
        <v>19</v>
      </c>
      <c r="H52" t="s">
        <v>29</v>
      </c>
    </row>
    <row r="53" spans="1:8" x14ac:dyDescent="0.3">
      <c r="A53" t="s">
        <v>86</v>
      </c>
      <c r="B53" t="s">
        <v>10</v>
      </c>
      <c r="C53" t="s">
        <v>10</v>
      </c>
      <c r="D53" t="s">
        <v>31</v>
      </c>
      <c r="F53" t="s">
        <v>32</v>
      </c>
      <c r="H53" t="s">
        <v>18</v>
      </c>
    </row>
    <row r="54" spans="1:8" x14ac:dyDescent="0.3">
      <c r="A54" t="s">
        <v>86</v>
      </c>
      <c r="B54" t="s">
        <v>60</v>
      </c>
      <c r="C54" t="s">
        <v>67</v>
      </c>
      <c r="D54" t="s">
        <v>31</v>
      </c>
      <c r="F54" t="s">
        <v>32</v>
      </c>
      <c r="H54" t="s">
        <v>18</v>
      </c>
    </row>
    <row r="55" spans="1:8" x14ac:dyDescent="0.3">
      <c r="A55" t="s">
        <v>87</v>
      </c>
      <c r="B55" t="s">
        <v>10</v>
      </c>
      <c r="C55" t="s">
        <v>10</v>
      </c>
      <c r="D55" t="s">
        <v>31</v>
      </c>
      <c r="E55" t="s">
        <v>17</v>
      </c>
      <c r="H55" t="s">
        <v>18</v>
      </c>
    </row>
    <row r="56" spans="1:8" x14ac:dyDescent="0.3">
      <c r="A56" t="s">
        <v>87</v>
      </c>
      <c r="B56" t="s">
        <v>66</v>
      </c>
      <c r="C56" t="s">
        <v>11</v>
      </c>
      <c r="D56" t="s">
        <v>31</v>
      </c>
      <c r="E56" t="s">
        <v>17</v>
      </c>
      <c r="F56" t="s">
        <v>71</v>
      </c>
      <c r="H56" t="s">
        <v>18</v>
      </c>
    </row>
    <row r="57" spans="1:8" x14ac:dyDescent="0.3">
      <c r="A57" t="s">
        <v>87</v>
      </c>
      <c r="B57" t="s">
        <v>63</v>
      </c>
      <c r="C57" t="s">
        <v>11</v>
      </c>
      <c r="D57" t="s">
        <v>31</v>
      </c>
      <c r="E57" t="s">
        <v>17</v>
      </c>
      <c r="F57" t="s">
        <v>34</v>
      </c>
      <c r="H57" t="s">
        <v>18</v>
      </c>
    </row>
    <row r="58" spans="1:8" x14ac:dyDescent="0.3">
      <c r="A58" t="s">
        <v>87</v>
      </c>
      <c r="B58" t="s">
        <v>12</v>
      </c>
      <c r="C58" t="s">
        <v>12</v>
      </c>
      <c r="D58" t="s">
        <v>31</v>
      </c>
      <c r="E58" t="s">
        <v>17</v>
      </c>
      <c r="H58" t="s">
        <v>18</v>
      </c>
    </row>
    <row r="59" spans="1:8" x14ac:dyDescent="0.3">
      <c r="A59" t="s">
        <v>87</v>
      </c>
      <c r="B59" t="s">
        <v>13</v>
      </c>
      <c r="C59" t="s">
        <v>13</v>
      </c>
      <c r="D59" t="s">
        <v>31</v>
      </c>
      <c r="E59" t="s">
        <v>17</v>
      </c>
      <c r="H59" t="s">
        <v>18</v>
      </c>
    </row>
    <row r="60" spans="1:8" x14ac:dyDescent="0.3">
      <c r="A60" t="s">
        <v>88</v>
      </c>
      <c r="B60" t="s">
        <v>61</v>
      </c>
      <c r="C60" t="s">
        <v>10</v>
      </c>
      <c r="D60" t="s">
        <v>31</v>
      </c>
      <c r="E60" t="s">
        <v>19</v>
      </c>
      <c r="F60" t="s">
        <v>33</v>
      </c>
      <c r="H60" t="s">
        <v>18</v>
      </c>
    </row>
    <row r="61" spans="1:8" x14ac:dyDescent="0.3">
      <c r="A61" t="s">
        <v>88</v>
      </c>
      <c r="B61" t="s">
        <v>56</v>
      </c>
      <c r="C61" t="s">
        <v>10</v>
      </c>
      <c r="D61" t="s">
        <v>31</v>
      </c>
      <c r="E61" t="s">
        <v>19</v>
      </c>
      <c r="F61" t="s">
        <v>72</v>
      </c>
      <c r="H61" t="s">
        <v>18</v>
      </c>
    </row>
    <row r="62" spans="1:8" x14ac:dyDescent="0.3">
      <c r="A62" t="s">
        <v>88</v>
      </c>
      <c r="B62" t="s">
        <v>62</v>
      </c>
      <c r="C62" t="s">
        <v>11</v>
      </c>
      <c r="D62" t="s">
        <v>31</v>
      </c>
      <c r="E62" t="s">
        <v>19</v>
      </c>
      <c r="F62" t="s">
        <v>33</v>
      </c>
      <c r="H62" t="s">
        <v>18</v>
      </c>
    </row>
    <row r="63" spans="1:8" x14ac:dyDescent="0.3">
      <c r="A63" t="s">
        <v>88</v>
      </c>
      <c r="B63" t="s">
        <v>57</v>
      </c>
      <c r="C63" t="s">
        <v>11</v>
      </c>
      <c r="D63" t="s">
        <v>31</v>
      </c>
      <c r="E63" t="s">
        <v>19</v>
      </c>
      <c r="F63" t="s">
        <v>77</v>
      </c>
      <c r="H63" t="s">
        <v>18</v>
      </c>
    </row>
    <row r="64" spans="1:8" x14ac:dyDescent="0.3">
      <c r="A64" t="s">
        <v>88</v>
      </c>
      <c r="B64" t="s">
        <v>63</v>
      </c>
      <c r="C64" t="s">
        <v>11</v>
      </c>
      <c r="D64" t="s">
        <v>31</v>
      </c>
      <c r="E64" t="s">
        <v>19</v>
      </c>
      <c r="F64" t="s">
        <v>34</v>
      </c>
      <c r="H64" t="s">
        <v>18</v>
      </c>
    </row>
    <row r="65" spans="1:8" x14ac:dyDescent="0.3">
      <c r="A65" t="s">
        <v>88</v>
      </c>
      <c r="B65" t="s">
        <v>64</v>
      </c>
      <c r="C65" t="s">
        <v>12</v>
      </c>
      <c r="D65" t="s">
        <v>31</v>
      </c>
      <c r="E65" t="s">
        <v>19</v>
      </c>
      <c r="F65" t="s">
        <v>33</v>
      </c>
      <c r="H65" t="s">
        <v>18</v>
      </c>
    </row>
    <row r="66" spans="1:8" x14ac:dyDescent="0.3">
      <c r="A66" t="s">
        <v>88</v>
      </c>
      <c r="B66" t="s">
        <v>58</v>
      </c>
      <c r="C66" t="s">
        <v>12</v>
      </c>
      <c r="D66" t="s">
        <v>31</v>
      </c>
      <c r="E66" t="s">
        <v>19</v>
      </c>
      <c r="F66" t="s">
        <v>72</v>
      </c>
      <c r="H66" t="s">
        <v>18</v>
      </c>
    </row>
    <row r="67" spans="1:8" x14ac:dyDescent="0.3">
      <c r="A67" t="s">
        <v>88</v>
      </c>
      <c r="B67" t="s">
        <v>65</v>
      </c>
      <c r="C67" t="s">
        <v>13</v>
      </c>
      <c r="D67" t="s">
        <v>31</v>
      </c>
      <c r="E67" t="s">
        <v>19</v>
      </c>
      <c r="F67" t="s">
        <v>33</v>
      </c>
      <c r="H67" t="s">
        <v>18</v>
      </c>
    </row>
    <row r="68" spans="1:8" x14ac:dyDescent="0.3">
      <c r="A68" t="s">
        <v>88</v>
      </c>
      <c r="B68" t="s">
        <v>59</v>
      </c>
      <c r="C68" t="s">
        <v>13</v>
      </c>
      <c r="D68" t="s">
        <v>31</v>
      </c>
      <c r="E68" t="s">
        <v>19</v>
      </c>
      <c r="F68" t="s">
        <v>72</v>
      </c>
      <c r="H68" t="s">
        <v>18</v>
      </c>
    </row>
    <row r="69" spans="1:8" x14ac:dyDescent="0.3">
      <c r="A69" t="s">
        <v>89</v>
      </c>
      <c r="B69" t="s">
        <v>10</v>
      </c>
      <c r="C69" t="s">
        <v>10</v>
      </c>
      <c r="D69" t="s">
        <v>35</v>
      </c>
      <c r="E69" t="s">
        <v>17</v>
      </c>
      <c r="H69" t="s">
        <v>18</v>
      </c>
    </row>
    <row r="70" spans="1:8" x14ac:dyDescent="0.3">
      <c r="A70" t="s">
        <v>90</v>
      </c>
      <c r="B70" t="s">
        <v>10</v>
      </c>
      <c r="C70" t="s">
        <v>10</v>
      </c>
      <c r="D70" t="s">
        <v>30</v>
      </c>
      <c r="E70" t="s">
        <v>17</v>
      </c>
      <c r="H70" t="s">
        <v>18</v>
      </c>
    </row>
    <row r="71" spans="1:8" x14ac:dyDescent="0.3">
      <c r="A71" t="s">
        <v>90</v>
      </c>
      <c r="B71" t="s">
        <v>11</v>
      </c>
      <c r="C71" t="s">
        <v>11</v>
      </c>
      <c r="D71" t="s">
        <v>30</v>
      </c>
      <c r="E71" t="s">
        <v>17</v>
      </c>
      <c r="F71" t="s">
        <v>71</v>
      </c>
      <c r="H71" t="s">
        <v>18</v>
      </c>
    </row>
    <row r="72" spans="1:8" x14ac:dyDescent="0.3">
      <c r="A72" t="s">
        <v>90</v>
      </c>
      <c r="B72" t="s">
        <v>63</v>
      </c>
      <c r="C72" t="s">
        <v>11</v>
      </c>
      <c r="D72" t="s">
        <v>30</v>
      </c>
      <c r="E72" t="s">
        <v>17</v>
      </c>
      <c r="F72" t="s">
        <v>34</v>
      </c>
      <c r="H72" t="s">
        <v>18</v>
      </c>
    </row>
    <row r="73" spans="1:8" x14ac:dyDescent="0.3">
      <c r="A73" t="s">
        <v>90</v>
      </c>
      <c r="B73" t="s">
        <v>12</v>
      </c>
      <c r="C73" t="s">
        <v>12</v>
      </c>
      <c r="D73" t="s">
        <v>30</v>
      </c>
      <c r="E73" t="s">
        <v>17</v>
      </c>
      <c r="H73" t="s">
        <v>18</v>
      </c>
    </row>
    <row r="74" spans="1:8" x14ac:dyDescent="0.3">
      <c r="A74" t="s">
        <v>90</v>
      </c>
      <c r="B74" t="s">
        <v>13</v>
      </c>
      <c r="C74" t="s">
        <v>13</v>
      </c>
      <c r="D74" t="s">
        <v>30</v>
      </c>
      <c r="E74" t="s">
        <v>17</v>
      </c>
      <c r="H74" t="s">
        <v>18</v>
      </c>
    </row>
    <row r="75" spans="1:8" x14ac:dyDescent="0.3">
      <c r="A75" t="s">
        <v>91</v>
      </c>
      <c r="B75" t="s">
        <v>61</v>
      </c>
      <c r="C75" t="s">
        <v>10</v>
      </c>
      <c r="D75" t="s">
        <v>30</v>
      </c>
      <c r="E75" t="s">
        <v>19</v>
      </c>
      <c r="F75" t="s">
        <v>33</v>
      </c>
      <c r="H75" t="s">
        <v>18</v>
      </c>
    </row>
    <row r="76" spans="1:8" x14ac:dyDescent="0.3">
      <c r="A76" t="s">
        <v>91</v>
      </c>
      <c r="B76" t="s">
        <v>56</v>
      </c>
      <c r="C76" t="s">
        <v>10</v>
      </c>
      <c r="D76" t="s">
        <v>30</v>
      </c>
      <c r="E76" t="s">
        <v>19</v>
      </c>
      <c r="F76" t="s">
        <v>72</v>
      </c>
      <c r="H76" t="s">
        <v>18</v>
      </c>
    </row>
    <row r="77" spans="1:8" x14ac:dyDescent="0.3">
      <c r="A77" t="s">
        <v>91</v>
      </c>
      <c r="B77" t="s">
        <v>62</v>
      </c>
      <c r="C77" t="s">
        <v>11</v>
      </c>
      <c r="D77" t="s">
        <v>30</v>
      </c>
      <c r="E77" t="s">
        <v>19</v>
      </c>
      <c r="F77" t="s">
        <v>33</v>
      </c>
      <c r="H77" t="s">
        <v>18</v>
      </c>
    </row>
    <row r="78" spans="1:8" x14ac:dyDescent="0.3">
      <c r="A78" t="s">
        <v>91</v>
      </c>
      <c r="B78" t="s">
        <v>57</v>
      </c>
      <c r="C78" t="s">
        <v>11</v>
      </c>
      <c r="D78" t="s">
        <v>30</v>
      </c>
      <c r="E78" t="s">
        <v>19</v>
      </c>
      <c r="F78" t="s">
        <v>77</v>
      </c>
      <c r="H78" t="s">
        <v>18</v>
      </c>
    </row>
    <row r="79" spans="1:8" x14ac:dyDescent="0.3">
      <c r="A79" t="s">
        <v>91</v>
      </c>
      <c r="B79" t="s">
        <v>63</v>
      </c>
      <c r="C79" t="s">
        <v>11</v>
      </c>
      <c r="D79" t="s">
        <v>30</v>
      </c>
      <c r="E79" t="s">
        <v>19</v>
      </c>
      <c r="F79" t="s">
        <v>34</v>
      </c>
      <c r="H79" t="s">
        <v>18</v>
      </c>
    </row>
    <row r="80" spans="1:8" x14ac:dyDescent="0.3">
      <c r="A80" t="s">
        <v>91</v>
      </c>
      <c r="B80" t="s">
        <v>64</v>
      </c>
      <c r="C80" t="s">
        <v>12</v>
      </c>
      <c r="D80" t="s">
        <v>30</v>
      </c>
      <c r="E80" t="s">
        <v>19</v>
      </c>
      <c r="F80" t="s">
        <v>33</v>
      </c>
      <c r="H80" t="s">
        <v>18</v>
      </c>
    </row>
    <row r="81" spans="1:8" x14ac:dyDescent="0.3">
      <c r="A81" t="s">
        <v>91</v>
      </c>
      <c r="B81" t="s">
        <v>58</v>
      </c>
      <c r="C81" t="s">
        <v>12</v>
      </c>
      <c r="D81" t="s">
        <v>30</v>
      </c>
      <c r="E81" t="s">
        <v>19</v>
      </c>
      <c r="F81" t="s">
        <v>72</v>
      </c>
      <c r="H81" t="s">
        <v>18</v>
      </c>
    </row>
    <row r="82" spans="1:8" x14ac:dyDescent="0.3">
      <c r="A82" t="s">
        <v>91</v>
      </c>
      <c r="B82" t="s">
        <v>65</v>
      </c>
      <c r="C82" t="s">
        <v>13</v>
      </c>
      <c r="D82" t="s">
        <v>30</v>
      </c>
      <c r="E82" t="s">
        <v>19</v>
      </c>
      <c r="F82" t="s">
        <v>33</v>
      </c>
      <c r="H82" t="s">
        <v>18</v>
      </c>
    </row>
    <row r="83" spans="1:8" x14ac:dyDescent="0.3">
      <c r="A83" t="s">
        <v>91</v>
      </c>
      <c r="B83" t="s">
        <v>59</v>
      </c>
      <c r="C83" t="s">
        <v>13</v>
      </c>
      <c r="D83" t="s">
        <v>30</v>
      </c>
      <c r="E83" t="s">
        <v>19</v>
      </c>
      <c r="F83" t="s">
        <v>72</v>
      </c>
      <c r="H8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F58F0-BBAE-4E82-82F1-195A8E330B48}">
  <sheetPr>
    <tabColor theme="8" tint="0.59999389629810485"/>
  </sheetPr>
  <dimension ref="A1:D156"/>
  <sheetViews>
    <sheetView zoomScale="107" workbookViewId="0">
      <selection activeCell="C15" sqref="C15"/>
    </sheetView>
  </sheetViews>
  <sheetFormatPr defaultRowHeight="14.4" x14ac:dyDescent="0.3"/>
  <cols>
    <col min="1" max="1" width="44.6640625" bestFit="1" customWidth="1"/>
    <col min="2" max="2" width="32" customWidth="1"/>
    <col min="3" max="3" width="47.77734375" customWidth="1"/>
    <col min="4" max="4" width="12.21875" customWidth="1"/>
  </cols>
  <sheetData>
    <row r="1" spans="1:4" x14ac:dyDescent="0.3">
      <c r="A1" t="str" cm="1">
        <f t="array" ref="A1:B83">_xlfn.UNIQUE(_xlfn._xlws.FILTER(filters!A:B, (filters!A:A&lt;&gt;"")*(filters!B:B&lt;&gt;"")))</f>
        <v>Category</v>
      </c>
      <c r="B1" t="str">
        <v>Sub category</v>
      </c>
      <c r="C1" s="10" t="s">
        <v>2</v>
      </c>
      <c r="D1" s="10" t="s">
        <v>68</v>
      </c>
    </row>
    <row r="2" spans="1:4" x14ac:dyDescent="0.3">
      <c r="A2" t="str">
        <v>Adult's Fiction</v>
      </c>
      <c r="B2" t="str">
        <v>English</v>
      </c>
      <c r="C2">
        <v>33.799999999999997</v>
      </c>
      <c r="D2">
        <v>4</v>
      </c>
    </row>
    <row r="3" spans="1:4" x14ac:dyDescent="0.3">
      <c r="A3" t="str">
        <v>Adult's Fiction</v>
      </c>
      <c r="B3" t="str">
        <v>Chinese</v>
      </c>
      <c r="C3">
        <v>47.1</v>
      </c>
      <c r="D3">
        <v>4</v>
      </c>
    </row>
    <row r="4" spans="1:4" x14ac:dyDescent="0.3">
      <c r="A4" t="str">
        <v>Adult's Fiction</v>
      </c>
      <c r="B4" t="str">
        <v>Malay</v>
      </c>
      <c r="C4">
        <v>38.1</v>
      </c>
      <c r="D4">
        <v>4</v>
      </c>
    </row>
    <row r="5" spans="1:4" x14ac:dyDescent="0.3">
      <c r="A5" t="str">
        <v>Adult's Fiction</v>
      </c>
      <c r="B5" t="str">
        <v>Tamil</v>
      </c>
      <c r="C5">
        <v>65.7</v>
      </c>
      <c r="D5">
        <v>4</v>
      </c>
    </row>
    <row r="6" spans="1:4" x14ac:dyDescent="0.3">
      <c r="A6" t="str">
        <v>Young People's Fiction</v>
      </c>
      <c r="B6" t="str">
        <v>English</v>
      </c>
      <c r="C6" s="3">
        <v>34.200000000000003</v>
      </c>
      <c r="D6">
        <v>4</v>
      </c>
    </row>
    <row r="7" spans="1:4" x14ac:dyDescent="0.3">
      <c r="A7" t="str">
        <v>Young People's Fiction</v>
      </c>
      <c r="B7" t="str">
        <v>Chinese</v>
      </c>
      <c r="C7" s="3">
        <f>(28/59+42/77+43/78)/3*90</f>
        <v>47.139386037691125</v>
      </c>
      <c r="D7">
        <v>4</v>
      </c>
    </row>
    <row r="8" spans="1:4" x14ac:dyDescent="0.3">
      <c r="A8" t="str">
        <v>Young People's Fiction</v>
      </c>
      <c r="B8" t="str">
        <v>Malay</v>
      </c>
      <c r="C8" s="3">
        <f>(29/61+24/64+26/62)/3*90</f>
        <v>38.092940243257537</v>
      </c>
      <c r="D8">
        <v>4</v>
      </c>
    </row>
    <row r="9" spans="1:4" x14ac:dyDescent="0.3">
      <c r="A9" t="str">
        <v>Young People's Fiction</v>
      </c>
      <c r="B9" t="str">
        <v>Tamil</v>
      </c>
      <c r="C9" s="3">
        <f>(49/68+48/70+54/69)/3*90</f>
        <v>65.66733649981731</v>
      </c>
      <c r="D9">
        <v>4</v>
      </c>
    </row>
    <row r="10" spans="1:4" x14ac:dyDescent="0.3">
      <c r="A10" t="str">
        <v>Adult's Non-Fiction</v>
      </c>
      <c r="B10" t="str">
        <v>English (000)</v>
      </c>
      <c r="C10" s="3">
        <v>43</v>
      </c>
      <c r="D10">
        <v>4</v>
      </c>
    </row>
    <row r="11" spans="1:4" x14ac:dyDescent="0.3">
      <c r="A11" t="str">
        <v>Adult's Non-Fiction</v>
      </c>
      <c r="B11" t="str">
        <v>English (100)</v>
      </c>
      <c r="C11" s="3">
        <v>43</v>
      </c>
      <c r="D11">
        <v>4</v>
      </c>
    </row>
    <row r="12" spans="1:4" x14ac:dyDescent="0.3">
      <c r="A12" t="str">
        <v>Adult's Non-Fiction</v>
      </c>
      <c r="B12" t="str">
        <v>English (200)</v>
      </c>
      <c r="C12" s="3">
        <v>43</v>
      </c>
      <c r="D12">
        <v>4</v>
      </c>
    </row>
    <row r="13" spans="1:4" x14ac:dyDescent="0.3">
      <c r="A13" t="str">
        <v>Adult's Non-Fiction</v>
      </c>
      <c r="B13" t="str">
        <v>English (300)</v>
      </c>
      <c r="C13" s="3">
        <v>43</v>
      </c>
      <c r="D13">
        <v>4</v>
      </c>
    </row>
    <row r="14" spans="1:4" x14ac:dyDescent="0.3">
      <c r="A14" t="str">
        <v>Adult's Non-Fiction</v>
      </c>
      <c r="B14" t="str">
        <v>English (400)</v>
      </c>
      <c r="C14" s="3">
        <v>43</v>
      </c>
      <c r="D14">
        <v>4</v>
      </c>
    </row>
    <row r="15" spans="1:4" x14ac:dyDescent="0.3">
      <c r="A15" t="str">
        <v>Adult's Non-Fiction</v>
      </c>
      <c r="B15" t="str">
        <v>English (500)</v>
      </c>
      <c r="C15" s="3">
        <v>43</v>
      </c>
      <c r="D15">
        <v>4</v>
      </c>
    </row>
    <row r="16" spans="1:4" x14ac:dyDescent="0.3">
      <c r="A16" t="str">
        <v>Adult's Non-Fiction</v>
      </c>
      <c r="B16" t="str">
        <v>English (600)</v>
      </c>
      <c r="C16" s="3">
        <v>43</v>
      </c>
      <c r="D16">
        <v>4</v>
      </c>
    </row>
    <row r="17" spans="1:4" x14ac:dyDescent="0.3">
      <c r="A17" t="str">
        <v>Adult's Non-Fiction</v>
      </c>
      <c r="B17" t="str">
        <v>English (700)</v>
      </c>
      <c r="C17" s="3">
        <v>43</v>
      </c>
      <c r="D17">
        <v>4</v>
      </c>
    </row>
    <row r="18" spans="1:4" x14ac:dyDescent="0.3">
      <c r="A18" t="str">
        <v>Adult's Non-Fiction</v>
      </c>
      <c r="B18" t="str">
        <v>English (800)</v>
      </c>
      <c r="C18" s="3">
        <v>43</v>
      </c>
      <c r="D18">
        <v>4</v>
      </c>
    </row>
    <row r="19" spans="1:4" x14ac:dyDescent="0.3">
      <c r="A19" t="str">
        <v>Adult's Non-Fiction</v>
      </c>
      <c r="B19" t="str">
        <v>English (900)</v>
      </c>
      <c r="C19" s="3">
        <v>43</v>
      </c>
      <c r="D19">
        <v>4</v>
      </c>
    </row>
    <row r="20" spans="1:4" x14ac:dyDescent="0.3">
      <c r="A20" t="str">
        <v>Adult's Non-Fiction</v>
      </c>
      <c r="B20" t="str">
        <v>English (ART)</v>
      </c>
      <c r="C20" s="3">
        <f>57.579837398374/87*90</f>
        <v>59.565349032800697</v>
      </c>
      <c r="D20">
        <v>4</v>
      </c>
    </row>
    <row r="21" spans="1:4" x14ac:dyDescent="0.3">
      <c r="A21" t="str">
        <v>Adult's Non-Fiction</v>
      </c>
      <c r="B21" t="str">
        <v>English (BIZ)</v>
      </c>
      <c r="C21" s="3">
        <v>42.6</v>
      </c>
      <c r="D21">
        <v>4</v>
      </c>
    </row>
    <row r="22" spans="1:4" x14ac:dyDescent="0.3">
      <c r="A22" t="str">
        <v>Adult's Non-Fiction</v>
      </c>
      <c r="B22" t="str">
        <v>English (COM)</v>
      </c>
      <c r="C22" s="3">
        <f>42.9776413204425/87*90</f>
        <v>44.459628952181902</v>
      </c>
      <c r="D22">
        <v>4</v>
      </c>
    </row>
    <row r="23" spans="1:4" x14ac:dyDescent="0.3">
      <c r="A23" t="str">
        <v>Adult's Non-Fiction</v>
      </c>
      <c r="B23" t="str">
        <v>English (COO)</v>
      </c>
      <c r="C23" s="3">
        <f>49.8557416050705/87*90</f>
        <v>51.574905108693613</v>
      </c>
      <c r="D23">
        <v>4</v>
      </c>
    </row>
    <row r="24" spans="1:4" x14ac:dyDescent="0.3">
      <c r="A24" t="str">
        <v>Adult's Non-Fiction</v>
      </c>
      <c r="B24" t="str">
        <v>English (FAM)</v>
      </c>
      <c r="C24" s="3">
        <f>43.076062467998/87*90</f>
        <v>44.56144393241172</v>
      </c>
      <c r="D24">
        <v>4</v>
      </c>
    </row>
    <row r="25" spans="1:4" x14ac:dyDescent="0.3">
      <c r="A25" t="str">
        <v>Adult's Non-Fiction</v>
      </c>
      <c r="B25" t="str">
        <v>English (HEA)</v>
      </c>
      <c r="C25" s="3">
        <f>42.8640886335192/87*90</f>
        <v>44.342160655364694</v>
      </c>
      <c r="D25">
        <v>4</v>
      </c>
    </row>
    <row r="26" spans="1:4" x14ac:dyDescent="0.3">
      <c r="A26" t="str">
        <v>Adult's Non-Fiction</v>
      </c>
      <c r="B26" t="str">
        <v>English (REC)</v>
      </c>
      <c r="C26" s="3">
        <f>41.9645354645355/87*90</f>
        <v>43.411588411588447</v>
      </c>
      <c r="D26">
        <v>4</v>
      </c>
    </row>
    <row r="27" spans="1:4" x14ac:dyDescent="0.3">
      <c r="A27" t="str">
        <v>Adult's Non-Fiction</v>
      </c>
      <c r="B27" t="str">
        <v>English (TRA)</v>
      </c>
      <c r="C27" s="3">
        <v>52</v>
      </c>
      <c r="D27">
        <v>4</v>
      </c>
    </row>
    <row r="28" spans="1:4" x14ac:dyDescent="0.3">
      <c r="A28" t="str">
        <v>Adult's Non-Fiction</v>
      </c>
      <c r="B28" t="str">
        <v>English (CMX)</v>
      </c>
      <c r="C28" s="3">
        <f>35.5106655679445/87*90</f>
        <v>36.735171277183966</v>
      </c>
      <c r="D28">
        <v>4</v>
      </c>
    </row>
    <row r="29" spans="1:4" x14ac:dyDescent="0.3">
      <c r="A29" t="str">
        <v>Young People's Non-Fiction</v>
      </c>
      <c r="B29" t="str">
        <v>English (000 to 900)</v>
      </c>
      <c r="C29" s="3">
        <v>68.599999999999994</v>
      </c>
      <c r="D29">
        <v>4</v>
      </c>
    </row>
    <row r="30" spans="1:4" x14ac:dyDescent="0.3">
      <c r="A30" t="str">
        <v>Young People's Non-Fiction</v>
      </c>
      <c r="B30" t="str">
        <v>English (CMX)</v>
      </c>
      <c r="C30" s="3">
        <v>36.700000000000003</v>
      </c>
      <c r="D30">
        <v>4</v>
      </c>
    </row>
    <row r="31" spans="1:4" x14ac:dyDescent="0.3">
      <c r="A31" t="str">
        <v xml:space="preserve">Adult &amp; Young People's Non-Fiction </v>
      </c>
      <c r="B31" t="str">
        <v>Chinese (000 to 900)</v>
      </c>
      <c r="C31" s="3">
        <v>59.076252723311555</v>
      </c>
      <c r="D31">
        <v>4</v>
      </c>
    </row>
    <row r="32" spans="1:4" x14ac:dyDescent="0.3">
      <c r="A32" t="str">
        <v xml:space="preserve">Adult &amp; Young People's Non-Fiction </v>
      </c>
      <c r="B32" t="str">
        <v>Chinese (FAM)</v>
      </c>
      <c r="C32" s="3">
        <v>59.1</v>
      </c>
      <c r="D32">
        <v>4</v>
      </c>
    </row>
    <row r="33" spans="1:4" x14ac:dyDescent="0.3">
      <c r="A33" t="str">
        <v xml:space="preserve">Adult &amp; Young People's Non-Fiction </v>
      </c>
      <c r="B33" t="str">
        <v>Malay (000 to 900)</v>
      </c>
      <c r="C33" s="3">
        <v>89.99727611149784</v>
      </c>
      <c r="D33">
        <v>4</v>
      </c>
    </row>
    <row r="34" spans="1:4" x14ac:dyDescent="0.3">
      <c r="A34" t="str">
        <v xml:space="preserve">Adult &amp; Young People's Non-Fiction </v>
      </c>
      <c r="B34" t="str">
        <v>Malay (FAM)</v>
      </c>
      <c r="C34" s="3">
        <v>90</v>
      </c>
      <c r="D34">
        <v>4</v>
      </c>
    </row>
    <row r="35" spans="1:4" x14ac:dyDescent="0.3">
      <c r="A35" t="str">
        <v xml:space="preserve">Adult &amp; Young People's Non-Fiction </v>
      </c>
      <c r="B35" t="str">
        <v>Tamil (000 to 900)</v>
      </c>
      <c r="C35" s="3">
        <v>83.677903513996426</v>
      </c>
      <c r="D35">
        <v>4</v>
      </c>
    </row>
    <row r="36" spans="1:4" x14ac:dyDescent="0.3">
      <c r="A36" t="str">
        <v xml:space="preserve">Adult &amp; Young People's Non-Fiction </v>
      </c>
      <c r="B36" t="str">
        <v>Tamil (FAM)</v>
      </c>
      <c r="C36" s="3">
        <v>83.7</v>
      </c>
      <c r="D36">
        <v>4</v>
      </c>
    </row>
    <row r="37" spans="1:4" x14ac:dyDescent="0.3">
      <c r="A37" t="str">
        <v>Adult &amp; Young People's Fiction (Singapore)</v>
      </c>
      <c r="B37" t="str">
        <v>English</v>
      </c>
      <c r="C37" s="4">
        <v>59.35</v>
      </c>
      <c r="D37">
        <v>4</v>
      </c>
    </row>
    <row r="38" spans="1:4" x14ac:dyDescent="0.3">
      <c r="A38" t="str">
        <v>Adult &amp; Young People's Fiction (Singapore)</v>
      </c>
      <c r="B38" t="str">
        <v>Chinese</v>
      </c>
      <c r="C38" s="4">
        <v>65.950255102040785</v>
      </c>
      <c r="D38">
        <v>4</v>
      </c>
    </row>
    <row r="39" spans="1:4" x14ac:dyDescent="0.3">
      <c r="A39" t="str">
        <v>Adult &amp; Young People's Fiction (Singapore)</v>
      </c>
      <c r="B39" t="str">
        <v>Malay</v>
      </c>
      <c r="C39" s="4">
        <v>65.302127659574481</v>
      </c>
      <c r="D39">
        <v>4</v>
      </c>
    </row>
    <row r="40" spans="1:4" x14ac:dyDescent="0.3">
      <c r="A40" t="str">
        <v>Adult &amp; Young People's Fiction (Singapore)</v>
      </c>
      <c r="B40" t="str">
        <v>Tamil</v>
      </c>
      <c r="C40" s="4">
        <v>81.176470588235276</v>
      </c>
      <c r="D40">
        <v>4</v>
      </c>
    </row>
    <row r="41" spans="1:4" x14ac:dyDescent="0.3">
      <c r="A41" t="str">
        <v>Adult &amp; Young People's Non-Fiction (Singapore)</v>
      </c>
      <c r="B41" t="str">
        <v>English</v>
      </c>
      <c r="C41" s="4">
        <v>59.35</v>
      </c>
      <c r="D41">
        <v>4</v>
      </c>
    </row>
    <row r="42" spans="1:4" x14ac:dyDescent="0.3">
      <c r="A42" t="str">
        <v>Adult &amp; Young People's Non-Fiction (Singapore)</v>
      </c>
      <c r="B42" t="str">
        <v>Chinese</v>
      </c>
      <c r="C42" s="4">
        <v>59.670461938841903</v>
      </c>
      <c r="D42">
        <v>4</v>
      </c>
    </row>
    <row r="43" spans="1:4" x14ac:dyDescent="0.3">
      <c r="A43" t="str">
        <v>Adult &amp; Young People's Non-Fiction (Singapore)</v>
      </c>
      <c r="B43" t="str">
        <v>Malay</v>
      </c>
      <c r="C43" s="4">
        <v>67.123034227567032</v>
      </c>
      <c r="D43">
        <v>4</v>
      </c>
    </row>
    <row r="44" spans="1:4" x14ac:dyDescent="0.3">
      <c r="A44" t="str">
        <v>Adult &amp; Young People's Non-Fiction (Singapore)</v>
      </c>
      <c r="B44" t="str">
        <v>Tamil</v>
      </c>
      <c r="C44" s="4">
        <v>87.826420890937044</v>
      </c>
      <c r="D44">
        <v>4</v>
      </c>
    </row>
    <row r="45" spans="1:4" x14ac:dyDescent="0.3">
      <c r="A45" t="str">
        <v>Children's Fiction (Singapore)</v>
      </c>
      <c r="B45" t="str">
        <v>English</v>
      </c>
      <c r="C45" s="3">
        <f>109.539114400465/87*90</f>
        <v>113.31632524186034</v>
      </c>
      <c r="D45">
        <v>4</v>
      </c>
    </row>
    <row r="46" spans="1:4" x14ac:dyDescent="0.3">
      <c r="A46" t="str">
        <v>Children's Fiction (Singapore)</v>
      </c>
      <c r="B46" t="str">
        <v>Chinese</v>
      </c>
      <c r="C46" s="3">
        <f>174.836538461538/87*90</f>
        <v>180.86538461538413</v>
      </c>
      <c r="D46">
        <v>4</v>
      </c>
    </row>
    <row r="47" spans="1:4" x14ac:dyDescent="0.3">
      <c r="A47" t="str">
        <v>Children's Fiction (Singapore)</v>
      </c>
      <c r="B47" t="str">
        <v>Malay</v>
      </c>
      <c r="C47" s="3">
        <f>192.810810810811/87*90</f>
        <v>199.45945945945965</v>
      </c>
      <c r="D47">
        <v>4</v>
      </c>
    </row>
    <row r="48" spans="1:4" x14ac:dyDescent="0.3">
      <c r="A48" t="str">
        <v>Children's Fiction (Singapore)</v>
      </c>
      <c r="B48" t="str">
        <v>Tamil</v>
      </c>
      <c r="C48" s="3">
        <f>208.30985915493/87*90</f>
        <v>215.49295774647931</v>
      </c>
      <c r="D48">
        <v>4</v>
      </c>
    </row>
    <row r="49" spans="1:4" x14ac:dyDescent="0.3">
      <c r="A49" t="str">
        <v>Children's Non-Fiction (Singapore)</v>
      </c>
      <c r="B49" t="str">
        <v>English</v>
      </c>
      <c r="C49" s="3">
        <f>129.558441558442/87*90</f>
        <v>134.02597402597451</v>
      </c>
      <c r="D49">
        <v>4</v>
      </c>
    </row>
    <row r="50" spans="1:4" x14ac:dyDescent="0.3">
      <c r="A50" t="str">
        <v>Children's Non-Fiction (Singapore)</v>
      </c>
      <c r="B50" t="str">
        <v>Chinese</v>
      </c>
      <c r="C50" s="3">
        <f>217.5/87*90</f>
        <v>225</v>
      </c>
      <c r="D50">
        <v>4</v>
      </c>
    </row>
    <row r="51" spans="1:4" x14ac:dyDescent="0.3">
      <c r="A51" t="str">
        <v>Children's Non-Fiction (Singapore)</v>
      </c>
      <c r="B51" t="str">
        <v>Malay</v>
      </c>
      <c r="C51" s="3">
        <f>212.666666666667/87*90</f>
        <v>220.00000000000034</v>
      </c>
      <c r="D51">
        <v>4</v>
      </c>
    </row>
    <row r="52" spans="1:4" x14ac:dyDescent="0.3">
      <c r="A52" t="str">
        <v>Children's Non-Fiction (Singapore)</v>
      </c>
      <c r="B52" t="str">
        <v>Tamil</v>
      </c>
      <c r="C52" s="3">
        <f>251.594594594595/87*90</f>
        <v>260.27027027027071</v>
      </c>
      <c r="D52">
        <v>4</v>
      </c>
    </row>
    <row r="53" spans="1:4" x14ac:dyDescent="0.3">
      <c r="A53" t="str">
        <v>Children's Collection (Early Literacy - Baby)</v>
      </c>
      <c r="B53" t="str">
        <v>English</v>
      </c>
      <c r="C53" s="3">
        <v>70</v>
      </c>
      <c r="D53">
        <v>4</v>
      </c>
    </row>
    <row r="54" spans="1:4" x14ac:dyDescent="0.3">
      <c r="A54" t="str">
        <v>Children's Collection (Early Literacy - Baby)</v>
      </c>
      <c r="B54" t="str">
        <v>MTL</v>
      </c>
      <c r="C54" s="3">
        <v>70</v>
      </c>
      <c r="D54">
        <v>4</v>
      </c>
    </row>
    <row r="55" spans="1:4" x14ac:dyDescent="0.3">
      <c r="A55" t="str">
        <v>Children's Fiction (Early Literacy - Picture Books)</v>
      </c>
      <c r="B55" t="str">
        <v>English</v>
      </c>
      <c r="C55" s="5">
        <f>127.769963369963/87*90</f>
        <v>132.17582417582378</v>
      </c>
      <c r="D55">
        <v>4</v>
      </c>
    </row>
    <row r="56" spans="1:4" x14ac:dyDescent="0.3">
      <c r="A56" t="str">
        <v>Children's Fiction (Early Literacy - Picture Books)</v>
      </c>
      <c r="B56" t="str">
        <v xml:space="preserve">Chinese </v>
      </c>
      <c r="C56" s="5">
        <f>130.885515873016/87*90</f>
        <v>135.39880952380966</v>
      </c>
      <c r="D56">
        <v>4</v>
      </c>
    </row>
    <row r="57" spans="1:4" x14ac:dyDescent="0.3">
      <c r="A57" t="str">
        <v>Children's Fiction (Early Literacy - Picture Books)</v>
      </c>
      <c r="B57" t="str">
        <v>Chinese (HAN/BIL)</v>
      </c>
      <c r="C57" s="5">
        <f>130.885515873016/87*90</f>
        <v>135.39880952380966</v>
      </c>
      <c r="D57">
        <v>4</v>
      </c>
    </row>
    <row r="58" spans="1:4" x14ac:dyDescent="0.3">
      <c r="A58" t="str">
        <v>Children's Fiction (Early Literacy - Picture Books)</v>
      </c>
      <c r="B58" t="str">
        <v>Malay</v>
      </c>
      <c r="C58" s="5">
        <f>222.127659574468/87*90</f>
        <v>229.78723404255308</v>
      </c>
      <c r="D58">
        <v>4</v>
      </c>
    </row>
    <row r="59" spans="1:4" x14ac:dyDescent="0.3">
      <c r="A59" t="str">
        <v>Children's Fiction (Early Literacy - Picture Books)</v>
      </c>
      <c r="B59" t="str">
        <v>Tamil</v>
      </c>
      <c r="C59" s="5">
        <f>322.222222222222/87*90</f>
        <v>333.33333333333309</v>
      </c>
      <c r="D59">
        <v>4</v>
      </c>
    </row>
    <row r="60" spans="1:4" x14ac:dyDescent="0.3">
      <c r="A60" t="str">
        <v>Children's Non-Fiction (Early Literacy - Picture Books)</v>
      </c>
      <c r="B60" t="str">
        <v>English (Folktales)</v>
      </c>
      <c r="C60" s="5">
        <f>113.419709322935/87*90</f>
        <v>117.33073378234656</v>
      </c>
      <c r="D60">
        <v>4</v>
      </c>
    </row>
    <row r="61" spans="1:4" x14ac:dyDescent="0.3">
      <c r="A61" t="str">
        <v>Children's Non-Fiction (Early Literacy - Picture Books)</v>
      </c>
      <c r="B61" t="str">
        <v>English (000 to 900)</v>
      </c>
      <c r="C61" s="5">
        <f>104.927850877193/87*90</f>
        <v>108.54605263157895</v>
      </c>
      <c r="D61">
        <v>4</v>
      </c>
    </row>
    <row r="62" spans="1:4" x14ac:dyDescent="0.3">
      <c r="A62" t="str">
        <v>Children's Non-Fiction (Early Literacy - Picture Books)</v>
      </c>
      <c r="B62" t="str">
        <v>Chinese (Folktales)</v>
      </c>
      <c r="C62" s="5">
        <f>135.9375/87*90</f>
        <v>140.625</v>
      </c>
      <c r="D62">
        <v>4</v>
      </c>
    </row>
    <row r="63" spans="1:4" x14ac:dyDescent="0.3">
      <c r="A63" t="str">
        <v>Children's Non-Fiction (Early Literacy - Picture Books)</v>
      </c>
      <c r="B63" t="str">
        <v>Chinese (000 to 900)</v>
      </c>
      <c r="C63" s="5">
        <f>133.339574163183/87*90</f>
        <v>137.93749051363756</v>
      </c>
      <c r="D63">
        <v>4</v>
      </c>
    </row>
    <row r="64" spans="1:4" x14ac:dyDescent="0.3">
      <c r="A64" t="str">
        <v>Children's Non-Fiction (Early Literacy - Picture Books)</v>
      </c>
      <c r="B64" t="str">
        <v>Chinese (HAN/BIL)</v>
      </c>
      <c r="C64" s="5">
        <f>130.885515873016/87*90</f>
        <v>135.39880952380966</v>
      </c>
      <c r="D64">
        <v>4</v>
      </c>
    </row>
    <row r="65" spans="1:4" x14ac:dyDescent="0.3">
      <c r="A65" t="str">
        <v>Children's Non-Fiction (Early Literacy - Picture Books)</v>
      </c>
      <c r="B65" t="str">
        <v>Malay (Folktales)</v>
      </c>
      <c r="C65" s="5">
        <f>280.645161290323/87*90</f>
        <v>290.32258064516174</v>
      </c>
      <c r="D65">
        <v>4</v>
      </c>
    </row>
    <row r="66" spans="1:4" x14ac:dyDescent="0.3">
      <c r="A66" t="str">
        <v>Children's Non-Fiction (Early Literacy - Picture Books)</v>
      </c>
      <c r="B66" t="str">
        <v>Malay (000 to 900)</v>
      </c>
      <c r="C66" s="5">
        <f>261/87*90</f>
        <v>270</v>
      </c>
      <c r="D66">
        <v>4</v>
      </c>
    </row>
    <row r="67" spans="1:4" x14ac:dyDescent="0.3">
      <c r="A67" t="str">
        <v>Children's Non-Fiction (Early Literacy - Picture Books)</v>
      </c>
      <c r="B67" t="str">
        <v>Tamil (Folktales)</v>
      </c>
      <c r="C67" s="5">
        <f>298.285714285714/87*90</f>
        <v>308.57142857142827</v>
      </c>
      <c r="D67">
        <v>4</v>
      </c>
    </row>
    <row r="68" spans="1:4" x14ac:dyDescent="0.3">
      <c r="A68" t="str">
        <v>Children's Non-Fiction (Early Literacy - Picture Books)</v>
      </c>
      <c r="B68" t="str">
        <v>Tamil (000 to 900)</v>
      </c>
      <c r="C68" s="5">
        <f>235.135135135135/87*90</f>
        <v>243.24324324324309</v>
      </c>
      <c r="D68">
        <v>4</v>
      </c>
    </row>
    <row r="69" spans="1:4" x14ac:dyDescent="0.3">
      <c r="A69" t="str">
        <v>Children's Fiction (Junior Simple)</v>
      </c>
      <c r="B69" t="str">
        <v>English</v>
      </c>
      <c r="C69" s="3">
        <v>86.1</v>
      </c>
      <c r="D69">
        <v>4</v>
      </c>
    </row>
    <row r="70" spans="1:4" x14ac:dyDescent="0.3">
      <c r="A70" t="str">
        <v>Children's Fiction (Juvenile)</v>
      </c>
      <c r="B70" t="str">
        <v>English</v>
      </c>
      <c r="C70" s="3">
        <f>41.8143785451938/87*90</f>
        <v>43.256253667441854</v>
      </c>
      <c r="D70">
        <v>4</v>
      </c>
    </row>
    <row r="71" spans="1:4" x14ac:dyDescent="0.3">
      <c r="A71" t="str">
        <v>Children's Fiction (Juvenile)</v>
      </c>
      <c r="B71" t="str">
        <v>Chinese</v>
      </c>
      <c r="C71" s="3">
        <v>91.8</v>
      </c>
      <c r="D71">
        <v>4</v>
      </c>
    </row>
    <row r="72" spans="1:4" x14ac:dyDescent="0.3">
      <c r="A72" t="str">
        <v>Children's Fiction (Juvenile)</v>
      </c>
      <c r="B72" t="str">
        <v>Chinese (HAN/BIL)</v>
      </c>
      <c r="C72" s="5">
        <f>89.875171/87*90</f>
        <v>92.974314827586198</v>
      </c>
      <c r="D72">
        <v>4</v>
      </c>
    </row>
    <row r="73" spans="1:4" x14ac:dyDescent="0.3">
      <c r="A73" t="str">
        <v>Children's Fiction (Juvenile)</v>
      </c>
      <c r="B73" t="str">
        <v>Malay</v>
      </c>
      <c r="C73" s="3">
        <f>126.060318432333/87*90</f>
        <v>130.40722596448242</v>
      </c>
      <c r="D73">
        <v>4</v>
      </c>
    </row>
    <row r="74" spans="1:4" x14ac:dyDescent="0.3">
      <c r="A74" t="str">
        <v>Children's Fiction (Juvenile)</v>
      </c>
      <c r="B74" t="str">
        <v>Tamil</v>
      </c>
      <c r="C74" s="3">
        <f>203.617021276596/87*90</f>
        <v>210.6382978723407</v>
      </c>
      <c r="D74">
        <v>4</v>
      </c>
    </row>
    <row r="75" spans="1:4" x14ac:dyDescent="0.3">
      <c r="A75" t="str">
        <v>Children's Non-Fiction (Juvenile)</v>
      </c>
      <c r="B75" t="str">
        <v>English (Folktales)</v>
      </c>
      <c r="C75" s="3">
        <f>71.5496828752643/87*90</f>
        <v>74.016913319238924</v>
      </c>
      <c r="D75">
        <v>4</v>
      </c>
    </row>
    <row r="76" spans="1:4" x14ac:dyDescent="0.3">
      <c r="A76" t="str">
        <v>Children's Non-Fiction (Juvenile)</v>
      </c>
      <c r="B76" t="str">
        <v>English (000 to 900)</v>
      </c>
      <c r="C76" s="3">
        <f>71.5496828752643/87*90</f>
        <v>74.016913319238924</v>
      </c>
      <c r="D76">
        <v>4</v>
      </c>
    </row>
    <row r="77" spans="1:4" x14ac:dyDescent="0.3">
      <c r="A77" t="str">
        <v>Children's Non-Fiction (Juvenile)</v>
      </c>
      <c r="B77" t="str">
        <v>Chinese (Folktales)</v>
      </c>
      <c r="C77" s="3">
        <v>83.4</v>
      </c>
      <c r="D77">
        <v>4</v>
      </c>
    </row>
    <row r="78" spans="1:4" x14ac:dyDescent="0.3">
      <c r="A78" t="str">
        <v>Children's Non-Fiction (Juvenile)</v>
      </c>
      <c r="B78" t="str">
        <v>Chinese (000 to 900)</v>
      </c>
      <c r="C78" s="3">
        <f>80.6773626373626/87*90</f>
        <v>83.459340659340626</v>
      </c>
      <c r="D78">
        <v>4</v>
      </c>
    </row>
    <row r="79" spans="1:4" x14ac:dyDescent="0.3">
      <c r="A79" t="str">
        <v>Children's Non-Fiction (Juvenile)</v>
      </c>
      <c r="B79" t="str">
        <v>Chinese (HAN/BIL)</v>
      </c>
      <c r="C79" s="5">
        <f>89.875171/87*90</f>
        <v>92.974314827586198</v>
      </c>
      <c r="D79">
        <v>4</v>
      </c>
    </row>
    <row r="80" spans="1:4" x14ac:dyDescent="0.3">
      <c r="A80" t="str">
        <v>Children's Non-Fiction (Juvenile)</v>
      </c>
      <c r="B80" t="str">
        <v>Malay (Folktales)</v>
      </c>
      <c r="C80" s="3">
        <f>139.657894736842/87*90</f>
        <v>144.47368421052622</v>
      </c>
      <c r="D80">
        <v>4</v>
      </c>
    </row>
    <row r="81" spans="1:4" x14ac:dyDescent="0.3">
      <c r="A81" t="str">
        <v>Children's Non-Fiction (Juvenile)</v>
      </c>
      <c r="B81" t="str">
        <v>Malay (000 to 900)</v>
      </c>
      <c r="C81" s="3">
        <f>117.907894736842/87*90</f>
        <v>121.9736842105262</v>
      </c>
      <c r="D81">
        <v>4</v>
      </c>
    </row>
    <row r="82" spans="1:4" x14ac:dyDescent="0.3">
      <c r="A82" t="str">
        <v>Children's Non-Fiction (Juvenile)</v>
      </c>
      <c r="B82" t="str">
        <v>Tamil (Folktales)</v>
      </c>
      <c r="C82" s="3">
        <f>124.458333333333/87*90</f>
        <v>128.74999999999966</v>
      </c>
      <c r="D82">
        <v>4</v>
      </c>
    </row>
    <row r="83" spans="1:4" x14ac:dyDescent="0.3">
      <c r="A83" t="str">
        <v>Children's Non-Fiction (Juvenile)</v>
      </c>
      <c r="B83" t="str">
        <v>Tamil (000 to 900)</v>
      </c>
      <c r="C83" s="3">
        <f>115.585714285714/87*90</f>
        <v>119.57142857142829</v>
      </c>
      <c r="D83">
        <v>4</v>
      </c>
    </row>
    <row r="84" spans="1:4" x14ac:dyDescent="0.3">
      <c r="C84" s="3"/>
    </row>
    <row r="85" spans="1:4" x14ac:dyDescent="0.3">
      <c r="C85" s="3"/>
    </row>
    <row r="86" spans="1:4" x14ac:dyDescent="0.3">
      <c r="C86" s="3"/>
    </row>
    <row r="87" spans="1:4" x14ac:dyDescent="0.3">
      <c r="C87" s="3"/>
    </row>
    <row r="88" spans="1:4" x14ac:dyDescent="0.3">
      <c r="C88" s="3"/>
    </row>
    <row r="89" spans="1:4" x14ac:dyDescent="0.3">
      <c r="C89" s="3"/>
    </row>
    <row r="90" spans="1:4" x14ac:dyDescent="0.3">
      <c r="C90" s="3"/>
    </row>
    <row r="91" spans="1:4" x14ac:dyDescent="0.3">
      <c r="C91" s="3"/>
    </row>
    <row r="92" spans="1:4" x14ac:dyDescent="0.3">
      <c r="C92" s="3"/>
    </row>
    <row r="93" spans="1:4" x14ac:dyDescent="0.3">
      <c r="C93" s="3"/>
    </row>
    <row r="94" spans="1:4" x14ac:dyDescent="0.3">
      <c r="C94" s="3"/>
    </row>
    <row r="95" spans="1:4" x14ac:dyDescent="0.3">
      <c r="C95" s="3"/>
    </row>
    <row r="96" spans="1:4" x14ac:dyDescent="0.3">
      <c r="C96" s="3"/>
    </row>
    <row r="97" spans="3:3" x14ac:dyDescent="0.3">
      <c r="C97" s="3"/>
    </row>
    <row r="98" spans="3:3" x14ac:dyDescent="0.3">
      <c r="C98" s="3"/>
    </row>
    <row r="99" spans="3:3" x14ac:dyDescent="0.3">
      <c r="C99" s="3"/>
    </row>
    <row r="115" spans="3:3" ht="16.8" x14ac:dyDescent="0.4">
      <c r="C115" s="6"/>
    </row>
    <row r="116" spans="3:3" ht="16.8" x14ac:dyDescent="0.4">
      <c r="C116" s="6"/>
    </row>
    <row r="134" spans="3:3" x14ac:dyDescent="0.3">
      <c r="C134" s="7"/>
    </row>
    <row r="135" spans="3:3" x14ac:dyDescent="0.3">
      <c r="C135" s="7"/>
    </row>
    <row r="136" spans="3:3" x14ac:dyDescent="0.3">
      <c r="C136" s="7"/>
    </row>
    <row r="137" spans="3:3" x14ac:dyDescent="0.3">
      <c r="C137" s="7"/>
    </row>
    <row r="138" spans="3:3" x14ac:dyDescent="0.3">
      <c r="C138" s="7"/>
    </row>
    <row r="139" spans="3:3" x14ac:dyDescent="0.3">
      <c r="C139" s="7"/>
    </row>
    <row r="140" spans="3:3" x14ac:dyDescent="0.3">
      <c r="C140" s="7"/>
    </row>
    <row r="141" spans="3:3" x14ac:dyDescent="0.3">
      <c r="C141" s="7"/>
    </row>
    <row r="142" spans="3:3" x14ac:dyDescent="0.3">
      <c r="C142" s="7"/>
    </row>
    <row r="143" spans="3:3" x14ac:dyDescent="0.3">
      <c r="C143" s="7"/>
    </row>
    <row r="144" spans="3:3" x14ac:dyDescent="0.3">
      <c r="C144" s="8"/>
    </row>
    <row r="145" spans="3:3" x14ac:dyDescent="0.3">
      <c r="C145" s="9"/>
    </row>
    <row r="146" spans="3:3" x14ac:dyDescent="0.3">
      <c r="C146" s="9"/>
    </row>
    <row r="147" spans="3:3" x14ac:dyDescent="0.3">
      <c r="C147" s="9"/>
    </row>
    <row r="148" spans="3:3" x14ac:dyDescent="0.3">
      <c r="C148" s="9"/>
    </row>
    <row r="149" spans="3:3" x14ac:dyDescent="0.3">
      <c r="C149" s="9"/>
    </row>
    <row r="150" spans="3:3" x14ac:dyDescent="0.3">
      <c r="C150" s="9"/>
    </row>
    <row r="151" spans="3:3" x14ac:dyDescent="0.3">
      <c r="C151" s="9"/>
    </row>
    <row r="152" spans="3:3" x14ac:dyDescent="0.3">
      <c r="C152" s="9"/>
    </row>
    <row r="153" spans="3:3" x14ac:dyDescent="0.3">
      <c r="C153" s="9"/>
    </row>
    <row r="154" spans="3:3" x14ac:dyDescent="0.3">
      <c r="C154" s="9"/>
    </row>
    <row r="155" spans="3:3" x14ac:dyDescent="0.3">
      <c r="C155" s="9"/>
    </row>
    <row r="156" spans="3:3" x14ac:dyDescent="0.3">
      <c r="C156" s="9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filters</vt:lpstr>
      <vt:lpstr>shelf run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Ying Xuan Lim</dc:creator>
  <cp:lastModifiedBy>Ying Xuan Lim</cp:lastModifiedBy>
  <dcterms:created xsi:type="dcterms:W3CDTF">2025-11-25T03:56:38Z</dcterms:created>
  <dcterms:modified xsi:type="dcterms:W3CDTF">2025-12-05T01:51:46Z</dcterms:modified>
</cp:coreProperties>
</file>